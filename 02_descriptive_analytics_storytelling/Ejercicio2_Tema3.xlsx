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8134600f1091d0c/Documentos/UNIE - Analiticas de Negocio/Análisis Estadístico para el Apoyo a la Toma de Decisiones Empresariales/"/>
    </mc:Choice>
  </mc:AlternateContent>
  <xr:revisionPtr revIDLastSave="138" documentId="13_ncr:1_{84D2E5E2-75BA-4ACD-B0A4-202C6AA6AED8}" xr6:coauthVersionLast="47" xr6:coauthVersionMax="47" xr10:uidLastSave="{909DFA0E-7A67-45B4-ADDF-5C6F9B760343}"/>
  <bookViews>
    <workbookView xWindow="-120" yWindow="0" windowWidth="19300" windowHeight="11370" activeTab="3" xr2:uid="{00000000-000D-0000-FFFF-FFFF00000000}"/>
  </bookViews>
  <sheets>
    <sheet name="Datos_2a" sheetId="2" r:id="rId1"/>
    <sheet name="Datos_2b" sheetId="3" r:id="rId2"/>
    <sheet name="Datos_2c" sheetId="4" r:id="rId3"/>
    <sheet name="Datos_2d" sheetId="5" r:id="rId4"/>
  </sheets>
  <definedNames>
    <definedName name="_xlchart.v1.0" hidden="1">Datos_2c!$B$1</definedName>
    <definedName name="_xlchart.v1.1" hidden="1">Datos_2c!$B$2:$B$9</definedName>
    <definedName name="_xlchart.v1.2" hidden="1">Datos_2c!$C$1</definedName>
    <definedName name="_xlchart.v1.3" hidden="1">Datos_2c!$C$2:$C$9</definedName>
    <definedName name="_xlchart.v1.4" hidden="1">Datos_2c!$D$1</definedName>
    <definedName name="_xlchart.v1.5" hidden="1">Datos_2c!$D$2:$D$9</definedName>
    <definedName name="_xlchart.v1.6" hidden="1">Datos_2c!$B$2:$B$9</definedName>
    <definedName name="_xlchart.v1.7" hidden="1">Datos_2c!$C$2:$C$9</definedName>
    <definedName name="_xlchart.v1.8" hidden="1">Datos_2c!$D$2:$D$9</definedName>
    <definedName name="_xlchart.v2.10" hidden="1">Datos_2d!$B$1</definedName>
    <definedName name="_xlchart.v2.11" hidden="1">Datos_2d!$B$2:$B$6</definedName>
    <definedName name="_xlchart.v2.12" hidden="1">Datos_2d!$A$2:$A$6</definedName>
    <definedName name="_xlchart.v2.13" hidden="1">Datos_2d!$B$1</definedName>
    <definedName name="_xlchart.v2.14" hidden="1">Datos_2d!$B$2:$B$6</definedName>
    <definedName name="_xlchart.v2.9" hidden="1">Datos_2d!$A$2:$A$6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5" l="1"/>
  <c r="C26" i="5"/>
  <c r="C27" i="5"/>
  <c r="C24" i="5"/>
  <c r="D27" i="5"/>
  <c r="D26" i="5"/>
  <c r="D25" i="5"/>
  <c r="D24" i="5"/>
  <c r="C33" i="4"/>
  <c r="D33" i="4"/>
  <c r="C32" i="4"/>
  <c r="D32" i="4"/>
  <c r="C31" i="4"/>
  <c r="D31" i="4"/>
  <c r="C30" i="4"/>
  <c r="D30" i="4"/>
  <c r="C29" i="4"/>
  <c r="D29" i="4"/>
  <c r="B29" i="4"/>
  <c r="B30" i="4"/>
  <c r="B31" i="4"/>
  <c r="B32" i="4"/>
  <c r="B33" i="4"/>
  <c r="C28" i="4"/>
  <c r="D28" i="4"/>
  <c r="B34" i="4" a="1"/>
  <c r="B34" i="4"/>
  <c r="B28" i="4"/>
  <c r="B28" i="3"/>
  <c r="D6" i="2"/>
  <c r="D5" i="2"/>
  <c r="D4" i="2"/>
  <c r="D3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<sst xmlns="http://schemas.openxmlformats.org/spreadsheetml/2006/main" count="80" uniqueCount="77">
  <si>
    <t>Plataforma</t>
  </si>
  <si>
    <t>Menciones</t>
  </si>
  <si>
    <t>Menciones negativas</t>
  </si>
  <si>
    <t>% negativo</t>
  </si>
  <si>
    <t>Instagram</t>
  </si>
  <si>
    <t>TikTok</t>
  </si>
  <si>
    <t>X/Twitter</t>
  </si>
  <si>
    <t>YouTube</t>
  </si>
  <si>
    <t>LinkedIn</t>
  </si>
  <si>
    <t>Estudiante</t>
  </si>
  <si>
    <t>Horas de estudio (X)</t>
  </si>
  <si>
    <t>Nota examen (Y)</t>
  </si>
  <si>
    <t>Campaña</t>
  </si>
  <si>
    <t>Presupuesto € (X)</t>
  </si>
  <si>
    <t>Ventas € (Y)</t>
  </si>
  <si>
    <t>Clientes captados (tamaño)</t>
  </si>
  <si>
    <t>A</t>
  </si>
  <si>
    <t>Redes sociales</t>
  </si>
  <si>
    <t>B</t>
  </si>
  <si>
    <t>Email marketing</t>
  </si>
  <si>
    <t>C</t>
  </si>
  <si>
    <t>Influencers</t>
  </si>
  <si>
    <t>D</t>
  </si>
  <si>
    <t>Google Ads</t>
  </si>
  <si>
    <t>E</t>
  </si>
  <si>
    <t>Evento presencial</t>
  </si>
  <si>
    <t>F</t>
  </si>
  <si>
    <t>G</t>
  </si>
  <si>
    <t>H</t>
  </si>
  <si>
    <t>Mes</t>
  </si>
  <si>
    <t>Tienda Centro</t>
  </si>
  <si>
    <t>Tienda Norte</t>
  </si>
  <si>
    <t>Tienda Sur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</si>
  <si>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</si>
  <si>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</si>
  <si>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</si>
  <si>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</si>
  <si>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</si>
  <si>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</si>
  <si>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</si>
  <si>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</si>
  <si>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Fase</t>
  </si>
  <si>
    <t>Usuarios</t>
  </si>
  <si>
    <t>Visitas web</t>
  </si>
  <si>
    <t>Producto visto</t>
  </si>
  <si>
    <t>Añade al carrito</t>
  </si>
  <si>
    <t>Inicia pago</t>
  </si>
  <si>
    <t>Compra final</t>
  </si>
  <si>
    <t>Twitter tiene el tercero maximo menciones y tiene un porcentaje de menciones negativo muy alto</t>
  </si>
  <si>
    <t>En que applicacion deberia el negocio fijar para incrementar o bajar el presupuesto para marketing</t>
  </si>
  <si>
    <t>Instagram tiene muy alto el numero de menciones</t>
  </si>
  <si>
    <t>priorizar twitter</t>
  </si>
  <si>
    <t>La gente que estudiaron mas tiempo sacaron mejores notas</t>
  </si>
  <si>
    <t>El presupuesto para influencers es 1000 euros menos pero aun asi parece que ha captado mas clientes y 500 euros mas en benificios para el negocio</t>
  </si>
  <si>
    <t>El negocio deberia incrementar el presupuesto de influencers for 500 euros o ajustarlo con el presupuesto de evento profesional con 500 euros para ver si sube incluso mas sus ventas</t>
  </si>
  <si>
    <t>Media</t>
  </si>
  <si>
    <t>Mediana</t>
  </si>
  <si>
    <t>Minimo</t>
  </si>
  <si>
    <t>Q1</t>
  </si>
  <si>
    <t>Q3</t>
  </si>
  <si>
    <t>Tienda centro</t>
  </si>
  <si>
    <t>tiendo norte</t>
  </si>
  <si>
    <t>tienda sur</t>
  </si>
  <si>
    <t>Maximo</t>
  </si>
  <si>
    <t>Rango</t>
  </si>
  <si>
    <t>Insights1</t>
  </si>
  <si>
    <t>Insights2</t>
  </si>
  <si>
    <t>Insights3</t>
  </si>
  <si>
    <t>Recomendacion</t>
  </si>
  <si>
    <t>Se pierde mas numero de usarios entre visitas web y producto visto</t>
  </si>
  <si>
    <t>Hallazgos</t>
  </si>
  <si>
    <t xml:space="preserve">Hay un 12% de compra final comparado al numero de visitas web </t>
  </si>
  <si>
    <t>Perdemos 35% de usuarios antes que ver el producto</t>
  </si>
  <si>
    <t>Recomendaciones</t>
  </si>
  <si>
    <t>Mirar el proceso y funcion al entrar cuando un usuarios llega al landing page</t>
  </si>
  <si>
    <t>Productos visto</t>
  </si>
  <si>
    <t>Compra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</si>
</sst>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#,##0\ \€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9"/>
      </patternFill>
    </fill>
    <fill>
      <patternFill patternType="solid">
        <fgColor rgb="FF0B3B75"/>
      </patternFill>
    </fill>
    <fill>
      <patternFill patternType="solid">
        <fgColor rgb="FF0B4A8B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wrapText="1"/>
    </xf>
    <xf numFmtId="1" fontId="0" fillId="0" borderId="2" xfId="0" applyNumberFormat="1" applyBorder="1" applyAlignment="1">
      <alignment wrapText="1"/>
    </xf>
    <xf numFmtId="9" fontId="0" fillId="0" borderId="3" xfId="0" applyNumberFormat="1" applyBorder="1" applyAlignment="1">
      <alignment wrapText="1"/>
    </xf>
    <xf numFmtId="0" fontId="0" fillId="0" borderId="4" xfId="0" applyBorder="1" applyAlignment="1">
      <alignment wrapText="1"/>
    </xf>
    <xf numFmtId="1" fontId="0" fillId="0" borderId="5" xfId="0" applyNumberFormat="1" applyBorder="1" applyAlignment="1">
      <alignment wrapText="1"/>
    </xf>
    <xf numFmtId="9" fontId="0" fillId="0" borderId="6" xfId="0" applyNumberFormat="1" applyBorder="1" applyAlignment="1">
      <alignment wrapText="1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2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979730A-01AC-4254-836F-46C81604C2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Datos_2a!$B$1</c:f>
              <c:strCache>
                <c:ptCount val="1"/>
                <c:pt idx="0">
                  <c:v>Menciones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Datos_2a!$A$2:$A$6</c:f>
              <c:strCache>
                <c:ptCount val="5"/>
                <c:pt idx="0">
                  <c:v>Instagram</c:v>
                </c:pt>
                <c:pt idx="1">
                  <c:v>TikTok</c:v>
                </c:pt>
                <c:pt idx="2">
                  <c:v>X/Twitter</c:v>
                </c:pt>
                <c:pt idx="3">
                  <c:v>YouTube</c:v>
                </c:pt>
                <c:pt idx="4">
                  <c:v>LinkedIn</c:v>
                </c:pt>
              </c:strCache>
            </c:strRef>
          </c:cat>
          <c:val>
            <c:numRef>
              <c:f>Datos_2a!$B$2:$B$6</c:f>
              <c:numCache>
                <c:formatCode>0</c:formatCode>
                <c:ptCount val="5"/>
                <c:pt idx="0">
                  <c:v>120</c:v>
                </c:pt>
                <c:pt idx="1">
                  <c:v>95</c:v>
                </c:pt>
                <c:pt idx="2">
                  <c:v>80</c:v>
                </c:pt>
                <c:pt idx="3">
                  <c:v>70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4-4A39-9D64-8244F5D08088}"/>
            </c:ext>
          </c:extLst>
        </c:ser>
        <c:ser>
          <c:idx val="1"/>
          <c:order val="1"/>
          <c:tx>
            <c:strRef>
              <c:f>Datos_2a!$C$1</c:f>
              <c:strCache>
                <c:ptCount val="1"/>
                <c:pt idx="0">
                  <c:v>Menciones negativas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Datos_2a!$A$2:$A$6</c:f>
              <c:strCache>
                <c:ptCount val="5"/>
                <c:pt idx="0">
                  <c:v>Instagram</c:v>
                </c:pt>
                <c:pt idx="1">
                  <c:v>TikTok</c:v>
                </c:pt>
                <c:pt idx="2">
                  <c:v>X/Twitter</c:v>
                </c:pt>
                <c:pt idx="3">
                  <c:v>YouTube</c:v>
                </c:pt>
                <c:pt idx="4">
                  <c:v>LinkedIn</c:v>
                </c:pt>
              </c:strCache>
            </c:strRef>
          </c:cat>
          <c:val>
            <c:numRef>
              <c:f>Datos_2a!$C$2:$C$6</c:f>
              <c:numCache>
                <c:formatCode>0</c:formatCode>
                <c:ptCount val="5"/>
                <c:pt idx="0">
                  <c:v>36</c:v>
                </c:pt>
                <c:pt idx="1">
                  <c:v>19</c:v>
                </c:pt>
                <c:pt idx="2">
                  <c:v>40</c:v>
                </c:pt>
                <c:pt idx="3">
                  <c:v>14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4-4A39-9D64-8244F5D08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780992"/>
        <c:axId val="1200769952"/>
      </c:barChart>
      <c:lineChart>
        <c:grouping val="standard"/>
        <c:varyColors val="0"/>
        <c:ser>
          <c:idx val="2"/>
          <c:order val="2"/>
          <c:tx>
            <c:strRef>
              <c:f>Datos_2a!$D$1</c:f>
              <c:strCache>
                <c:ptCount val="1"/>
                <c:pt idx="0">
                  <c:v>% negativo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Datos_2a!$A$2:$A$6</c:f>
              <c:strCache>
                <c:ptCount val="5"/>
                <c:pt idx="0">
                  <c:v>Instagram</c:v>
                </c:pt>
                <c:pt idx="1">
                  <c:v>TikTok</c:v>
                </c:pt>
                <c:pt idx="2">
                  <c:v>X/Twitter</c:v>
                </c:pt>
                <c:pt idx="3">
                  <c:v>YouTube</c:v>
                </c:pt>
                <c:pt idx="4">
                  <c:v>LinkedIn</c:v>
                </c:pt>
              </c:strCache>
            </c:strRef>
          </c:cat>
          <c:val>
            <c:numRef>
              <c:f>Datos_2a!$D$2:$D$6</c:f>
              <c:numCache>
                <c:formatCode>0%</c:formatCode>
                <c:ptCount val="5"/>
                <c:pt idx="0">
                  <c:v>0.3</c:v>
                </c:pt>
                <c:pt idx="1">
                  <c:v>0.2</c:v>
                </c:pt>
                <c:pt idx="2">
                  <c:v>0.5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4-4A39-9D64-8244F5D08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768512"/>
        <c:axId val="1200782432"/>
      </c:lineChart>
      <c:catAx>
        <c:axId val="12007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69952"/>
        <c:crosses val="autoZero"/>
        <c:auto val="1"/>
        <c:lblAlgn val="ctr"/>
        <c:lblOffset val="100"/>
        <c:noMultiLvlLbl val="0"/>
      </c:catAx>
      <c:valAx>
        <c:axId val="12007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80992"/>
        <c:crosses val="autoZero"/>
        <c:crossBetween val="between"/>
      </c:valAx>
      <c:valAx>
        <c:axId val="120078243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68512"/>
        <c:crosses val="max"/>
        <c:crossBetween val="between"/>
      </c:valAx>
      <c:catAx>
        <c:axId val="1200768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07824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Datos_2a!$D$1</c:f>
              <c:strCache>
                <c:ptCount val="1"/>
                <c:pt idx="0">
                  <c:v>% negativo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Datos_2a!$A$2:$A$6</c:f>
              <c:strCache>
                <c:ptCount val="5"/>
                <c:pt idx="0">
                  <c:v>Instagram</c:v>
                </c:pt>
                <c:pt idx="1">
                  <c:v>TikTok</c:v>
                </c:pt>
                <c:pt idx="2">
                  <c:v>X/Twitter</c:v>
                </c:pt>
                <c:pt idx="3">
                  <c:v>YouTube</c:v>
                </c:pt>
                <c:pt idx="4">
                  <c:v>LinkedIn</c:v>
                </c:pt>
              </c:strCache>
            </c:strRef>
          </c:cat>
          <c:val>
            <c:numRef>
              <c:f>Datos_2a!$D$2:$D$6</c:f>
              <c:numCache>
                <c:formatCode>0%</c:formatCode>
                <c:ptCount val="5"/>
                <c:pt idx="0">
                  <c:v>0.3</c:v>
                </c:pt>
                <c:pt idx="1">
                  <c:v>0.2</c:v>
                </c:pt>
                <c:pt idx="2">
                  <c:v>0.5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2-4B2E-AE09-F6CFDC512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018368"/>
        <c:axId val="1339017408"/>
      </c:barChart>
      <c:catAx>
        <c:axId val="133901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17408"/>
        <c:crosses val="autoZero"/>
        <c:auto val="1"/>
        <c:lblAlgn val="ctr"/>
        <c:lblOffset val="100"/>
        <c:noMultiLvlLbl val="0"/>
      </c:catAx>
      <c:valAx>
        <c:axId val="13390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1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Datos_2b!$C$1</c:f>
              <c:strCache>
                <c:ptCount val="1"/>
                <c:pt idx="0">
                  <c:v>Nota examen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Datos_2b!$B$2:$B$9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Datos_2b!$C$2:$C$9</c:f>
              <c:numCache>
                <c:formatCode>0.0</c:formatCode>
                <c:ptCount val="8"/>
                <c:pt idx="0">
                  <c:v>4.5</c:v>
                </c:pt>
                <c:pt idx="1">
                  <c:v>5</c:v>
                </c:pt>
                <c:pt idx="2">
                  <c:v>5.8</c:v>
                </c:pt>
                <c:pt idx="3">
                  <c:v>6.2</c:v>
                </c:pt>
                <c:pt idx="4">
                  <c:v>7</c:v>
                </c:pt>
                <c:pt idx="5">
                  <c:v>7.5</c:v>
                </c:pt>
                <c:pt idx="6">
                  <c:v>8.1</c:v>
                </c:pt>
                <c:pt idx="7">
                  <c:v>8.6999999999999993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42-4753-9901-FE3298A03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681632"/>
        <c:axId val="1200685472"/>
      </c:scatterChart>
      <c:valAx>
        <c:axId val="12006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85472"/>
        <c:crosses val="autoZero"/>
        <c:crossBetween val="midCat"/>
      </c:valAx>
      <c:valAx>
        <c:axId val="12006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Datos_2b!$G$1</c:f>
              <c:strCache>
                <c:ptCount val="1"/>
                <c:pt idx="0">
                  <c:v>Ventas € (Y)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Datos_2b!$F$2:$F$6</c:f>
              <c:numCache>
                <c:formatCode>#,##0\ \€</c:formatCode>
                <c:ptCount val="5"/>
                <c:pt idx="0">
                  <c:v>1000</c:v>
                </c:pt>
                <c:pt idx="1">
                  <c:v>700</c:v>
                </c:pt>
                <c:pt idx="2">
                  <c:v>2000</c:v>
                </c:pt>
                <c:pt idx="3">
                  <c:v>1500</c:v>
                </c:pt>
                <c:pt idx="4">
                  <c:v>3000</c:v>
                </c:pt>
              </c:numCache>
            </c:numRef>
          </c:xVal>
          <c:yVal>
            <c:numRef>
              <c:f>Datos_2b!$G$2:$G$6</c:f>
              <c:numCache>
                <c:formatCode>#,##0\ \€</c:formatCode>
                <c:ptCount val="5"/>
                <c:pt idx="0">
                  <c:v>5000</c:v>
                </c:pt>
                <c:pt idx="1">
                  <c:v>3500</c:v>
                </c:pt>
                <c:pt idx="2">
                  <c:v>7500</c:v>
                </c:pt>
                <c:pt idx="3">
                  <c:v>6800</c:v>
                </c:pt>
                <c:pt idx="4">
                  <c:v>8000</c:v>
                </c:pt>
              </c:numCache>
            </c:numRef>
          </c:yVal>
          <c:bubbleSize>
            <c:numRef>
              <c:f>Datos_2b!$H$2:$H$6</c:f>
              <c:numCache>
                <c:formatCode>General</c:formatCode>
                <c:ptCount val="5"/>
                <c:pt idx="0">
                  <c:v>80</c:v>
                </c:pt>
                <c:pt idx="1">
                  <c:v>60</c:v>
                </c:pt>
                <c:pt idx="2">
                  <c:v>120</c:v>
                </c:pt>
                <c:pt idx="3">
                  <c:v>100</c:v>
                </c:pt>
                <c:pt idx="4">
                  <c:v>70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56A5-4FCD-9BEB-2ABB8C3C4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00781952"/>
        <c:axId val="1200782912"/>
      </c:bubbleChart>
      <c:valAx>
        <c:axId val="120078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\€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82912"/>
        <c:crosses val="autoZero"/>
        <c:crossBetween val="midCat"/>
      </c:valAx>
      <c:valAx>
        <c:axId val="12007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\€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8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Datos_2d!$B$1</c:f>
              <c:strCache>
                <c:ptCount val="1"/>
                <c:pt idx="0">
                  <c:v>Usuarios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Datos_2d!$A$2:$A$6</c:f>
              <c:strCache>
                <c:ptCount val="5"/>
                <c:pt idx="0">
                  <c:v>Visitas web</c:v>
                </c:pt>
                <c:pt idx="1">
                  <c:v>Producto visto</c:v>
                </c:pt>
                <c:pt idx="2">
                  <c:v>Añade al carrito</c:v>
                </c:pt>
                <c:pt idx="3">
                  <c:v>Inicia pago</c:v>
                </c:pt>
                <c:pt idx="4">
                  <c:v>Compra final</c:v>
                </c:pt>
              </c:strCache>
            </c:strRef>
          </c:cat>
          <c:val>
            <c:numRef>
              <c:f>Datos_2d!$B$2:$B$6</c:f>
              <c:numCache>
                <c:formatCode>#,##0</c:formatCode>
                <c:ptCount val="5"/>
                <c:pt idx="0">
                  <c:v>1000</c:v>
                </c:pt>
                <c:pt idx="1">
                  <c:v>650</c:v>
                </c:pt>
                <c:pt idx="2">
                  <c:v>350</c:v>
                </c:pt>
                <c:pt idx="3">
                  <c:v>220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2-43E1-AB5D-D5DF11DC41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boxWhisker" uniqueId="{469C3715-C923-4B65-B385-45152B8AC2F3}">
          <cx:tx>
            <cx:txData>
              <cx:f>_xlchart.v1.0</cx:f>
              <cx:v>Tienda Centro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FA1BBF3-94B7-4AA2-9E3C-327061DBB51B}">
          <cx:tx>
            <cx:txData>
              <cx:f>_xlchart.v1.2</cx:f>
              <cx:v>Tienda Norte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B70D836-B97C-4547-BDB8-8E21BED79B6B}">
          <cx:tx>
            <cx:txData>
              <cx:f>_xlchart.v1.4</cx:f>
              <cx:v>Tienda Sur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_xlchart.v2.14</cx:f>
      </cx:numDim>
    </cx:data>
  </cx:chartData>
  <cx:chart>
    <cx:title pos="t" align="ctr" overlay="0"/>
    <cx:plotArea>
      <cx:plotAreaRegion>
        <cx:series layoutId="funnel" uniqueId="{F3235A9D-ED54-4D58-8F3C-816F39470682}">
          <cx:tx>
            <cx:txData>
              <cx:f>_xlchart.v2.13</cx:f>
              <cx:v>Usuarios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663575</xdr:colOff>
      <xdr:row>6</xdr:row>
      <xdr:rowOff>133350</xdr:rowOff>
    </xdr:from>
    <xdr:to>
      <xdr:col>3</xdr:col>
      <xdr:colOff>657225</xdr:colOff>
      <xdr:row>22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E989E7-81E1-3591-CF06-21F9D9DEC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1078280</xdr:colOff>
      <xdr:row>6</xdr:row>
      <xdr:rowOff>32727</xdr:rowOff>
    </xdr:from>
    <xdr:to>
      <xdr:col>9</xdr:col>
      <xdr:colOff>643549</xdr:colOff>
      <xdr:row>21</xdr:row>
      <xdr:rowOff>28330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A11F16-57F3-C0AC-E9E5-55C459F45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403225</xdr:colOff>
      <xdr:row>10</xdr:row>
      <xdr:rowOff>19050</xdr:rowOff>
    </xdr:from>
    <xdr:to>
      <xdr:col>2</xdr:col>
      <xdr:colOff>1352550</xdr:colOff>
      <xdr:row>23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8D5D16-14A9-433E-37FB-91E332974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911225</xdr:colOff>
      <xdr:row>8</xdr:row>
      <xdr:rowOff>152400</xdr:rowOff>
    </xdr:from>
    <xdr:to>
      <xdr:col>6</xdr:col>
      <xdr:colOff>1997075</xdr:colOff>
      <xdr:row>24</xdr:row>
      <xdr:rowOff>50800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F745D7-2589-C8D3-B7BB-685233648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414262</xdr:colOff>
      <xdr:row>9</xdr:row>
      <xdr:rowOff>116115</xdr:rowOff>
    </xdr:from>
    <xdr:to>
      <xdr:col>3</xdr:col>
      <xdr:colOff>625929</xdr:colOff>
      <xdr:row>25</xdr:row>
      <xdr:rowOff>53220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37CF03C4-7BA9-B770-208F-CE7CE4D36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262" y="170059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74767</xdr:colOff>
      <xdr:row>0</xdr:row>
      <xdr:rowOff>113480</xdr:rowOff>
    </xdr:from>
    <xdr:to>
      <xdr:col>8</xdr:col>
      <xdr:colOff>601202</xdr:colOff>
      <xdr:row>16</xdr:row>
      <xdr:rowOff>70874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5AECB5-2D5A-3E40-4B6B-65C147E62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35918</xdr:colOff>
      <xdr:row>28</xdr:row>
      <xdr:rowOff>119688</xdr:rowOff>
    </xdr:from>
    <xdr:to>
      <xdr:col>2</xdr:col>
      <xdr:colOff>714534</xdr:colOff>
      <xdr:row>43</xdr:row>
      <xdr:rowOff>168949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53A3FC7-A6E8-8309-380B-65A659A446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918" y="51483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Tabla" displayName="DatosTabla" ref="A1:D6">
  <tableColumns count="4">
    <tableColumn id="1" xr3:uid="{00000000-0010-0000-0000-000001000000}" name="Plataforma"/>
    <tableColumn id="2" xr3:uid="{00000000-0010-0000-0000-000002000000}" name="Menciones"/>
    <tableColumn id="3" xr3:uid="{00000000-0010-0000-0000-000003000000}" name="Menciones negativas"/>
    <tableColumn id="4" xr3:uid="{00000000-0010-0000-0000-000004000000}" name="% nega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1F889F-0515-4E72-AFE6-E2E081AFC81E}" name="VentasTiendas" displayName="VentasTiendas" ref="A1:D9">
  <tableColumns count="4">
    <tableColumn id="1" xr3:uid="{7FB9F353-AFB8-400B-A5E7-E8D4AD060002}" name="Mes"/>
    <tableColumn id="2" xr3:uid="{988CAB2F-4DE2-423D-8856-686A4D5319C6}" name="Tienda Centro"/>
    <tableColumn id="3" xr3:uid="{9F33553A-A6FF-48E2-8A17-90A89CDA0447}" name="Tienda Norte"/>
    <tableColumn id="4" xr3:uid="{7EB78B59-CDA9-4796-88F1-E8127B46B9F0}" name="Tienda S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zoomScale="52" workbookViewId="0">
      <selection activeCell="D1" activeCellId="1" sqref="A1:A6 D1:D6"/>
    </sheetView>
  </sheetViews>
  <sheetFormatPr baseColWidth="10" defaultColWidth="9" defaultRowHeight="14"/>
  <cols>
    <col min="1" max="1" width="18.08203125" customWidth="1"/>
    <col min="2" max="2" width="19.5" customWidth="1"/>
    <col min="3" max="3" width="22.5" customWidth="1"/>
    <col min="4" max="4" width="20.8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120</v>
      </c>
      <c r="C2" s="3">
        <v>36</v>
      </c>
      <c r="D2" s="4">
        <f>C2/B2</f>
        <v>0.3</v>
      </c>
    </row>
    <row r="3" spans="1:4">
      <c r="A3" s="5" t="s">
        <v>5</v>
      </c>
      <c r="B3" s="6">
        <v>95</v>
      </c>
      <c r="C3" s="6">
        <v>19</v>
      </c>
      <c r="D3" s="7">
        <f>C3/B3</f>
        <v>0.2</v>
      </c>
    </row>
    <row r="4" spans="1:4">
      <c r="A4" s="5" t="s">
        <v>6</v>
      </c>
      <c r="B4" s="6">
        <v>80</v>
      </c>
      <c r="C4" s="6">
        <v>40</v>
      </c>
      <c r="D4" s="7">
        <f>C4/B4</f>
        <v>0.5</v>
      </c>
    </row>
    <row r="5" spans="1:4">
      <c r="A5" s="5" t="s">
        <v>7</v>
      </c>
      <c r="B5" s="6">
        <v>70</v>
      </c>
      <c r="C5" s="6">
        <v>14</v>
      </c>
      <c r="D5" s="7">
        <f>C5/B5</f>
        <v>0.2</v>
      </c>
    </row>
    <row r="6" spans="1:4">
      <c r="A6" s="5" t="s">
        <v>8</v>
      </c>
      <c r="B6" s="6">
        <v>35</v>
      </c>
      <c r="C6" s="6">
        <v>7</v>
      </c>
      <c r="D6" s="7">
        <f>C6/B6</f>
        <v>0.2</v>
      </c>
    </row>
    <row r="26" spans="1:1">
      <c r="A26" t="s">
        <v>49</v>
      </c>
    </row>
    <row r="27" spans="1:1">
      <c r="A27" t="s">
        <v>48</v>
      </c>
    </row>
    <row r="28" spans="1:1">
      <c r="A28" t="s">
        <v>50</v>
      </c>
    </row>
    <row r="29" spans="1:1">
      <c r="A29" t="s">
        <v>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393E-D596-461B-BCD6-85A650FA5474}">
  <dimension ref="A1:H28"/>
  <sheetViews>
    <sheetView zoomScale="73" workbookViewId="0">
      <selection activeCell="B29" sqref="B29"/>
    </sheetView>
  </sheetViews>
  <sheetFormatPr baseColWidth="10" defaultRowHeight="14"/>
  <cols>
    <col min="1" max="1" width="19.08203125" customWidth="1"/>
    <col min="2" max="2" width="17.08203125" customWidth="1"/>
    <col min="3" max="3" width="19.75" customWidth="1"/>
    <col min="5" max="5" width="21.25" customWidth="1"/>
    <col min="6" max="6" width="24.5" customWidth="1"/>
    <col min="7" max="7" width="32.83203125" customWidth="1"/>
    <col min="8" max="8" width="29.25" customWidth="1"/>
  </cols>
  <sheetData>
    <row r="1" spans="1:8" ht="28">
      <c r="A1" s="8" t="s">
        <v>9</v>
      </c>
      <c r="B1" s="8" t="s">
        <v>10</v>
      </c>
      <c r="C1" s="8" t="s">
        <v>11</v>
      </c>
      <c r="D1" s="9"/>
      <c r="E1" s="8" t="s">
        <v>12</v>
      </c>
      <c r="F1" s="8" t="s">
        <v>13</v>
      </c>
      <c r="G1" s="8" t="s">
        <v>14</v>
      </c>
      <c r="H1" s="8" t="s">
        <v>15</v>
      </c>
    </row>
    <row r="2" spans="1:8">
      <c r="A2" t="s">
        <v>16</v>
      </c>
      <c r="B2">
        <v>2</v>
      </c>
      <c r="C2" s="10">
        <v>4.5</v>
      </c>
      <c r="E2" t="s">
        <v>17</v>
      </c>
      <c r="F2" s="11">
        <v>1000</v>
      </c>
      <c r="G2" s="11">
        <v>5000</v>
      </c>
      <c r="H2">
        <v>80</v>
      </c>
    </row>
    <row r="3" spans="1:8">
      <c r="A3" t="s">
        <v>18</v>
      </c>
      <c r="B3">
        <v>3</v>
      </c>
      <c r="C3" s="10">
        <v>5</v>
      </c>
      <c r="E3" t="s">
        <v>19</v>
      </c>
      <c r="F3" s="11">
        <v>700</v>
      </c>
      <c r="G3" s="11">
        <v>3500</v>
      </c>
      <c r="H3">
        <v>60</v>
      </c>
    </row>
    <row r="4" spans="1:8">
      <c r="A4" t="s">
        <v>20</v>
      </c>
      <c r="B4">
        <v>4</v>
      </c>
      <c r="C4" s="10">
        <v>5.8</v>
      </c>
      <c r="E4" t="s">
        <v>21</v>
      </c>
      <c r="F4" s="11">
        <v>2000</v>
      </c>
      <c r="G4" s="11">
        <v>7500</v>
      </c>
      <c r="H4">
        <v>120</v>
      </c>
    </row>
    <row r="5" spans="1:8">
      <c r="A5" t="s">
        <v>22</v>
      </c>
      <c r="B5">
        <v>5</v>
      </c>
      <c r="C5" s="10">
        <v>6.2</v>
      </c>
      <c r="E5" t="s">
        <v>23</v>
      </c>
      <c r="F5" s="11">
        <v>1500</v>
      </c>
      <c r="G5" s="11">
        <v>6800</v>
      </c>
      <c r="H5">
        <v>100</v>
      </c>
    </row>
    <row r="6" spans="1:8">
      <c r="A6" t="s">
        <v>24</v>
      </c>
      <c r="B6">
        <v>6</v>
      </c>
      <c r="C6" s="10">
        <v>7</v>
      </c>
      <c r="E6" t="s">
        <v>25</v>
      </c>
      <c r="F6" s="11">
        <v>3000</v>
      </c>
      <c r="G6" s="11">
        <v>8000</v>
      </c>
      <c r="H6">
        <v>70</v>
      </c>
    </row>
    <row r="7" spans="1:8">
      <c r="A7" t="s">
        <v>26</v>
      </c>
      <c r="B7">
        <v>7</v>
      </c>
      <c r="C7" s="10">
        <v>7.5</v>
      </c>
    </row>
    <row r="8" spans="1:8">
      <c r="A8" t="s">
        <v>27</v>
      </c>
      <c r="B8">
        <v>8</v>
      </c>
      <c r="C8" s="10">
        <v>8.1</v>
      </c>
    </row>
    <row r="9" spans="1:8">
      <c r="A9" t="s">
        <v>28</v>
      </c>
      <c r="B9">
        <v>9</v>
      </c>
      <c r="C9" s="10">
        <v>8.6999999999999993</v>
      </c>
    </row>
    <row r="27" spans="1:6">
      <c r="A27" t="s">
        <v>52</v>
      </c>
      <c r="F27" t="s">
        <v>53</v>
      </c>
    </row>
    <row r="28" spans="1:6">
      <c r="B28">
        <f>CORREL(B2:B9,C2:C9)</f>
        <v>0.99873141550748423</v>
      </c>
      <c r="F28" t="s">
        <v>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EA57-8944-41B2-96FE-3E94B75DBC79}">
  <dimension ref="A1:D43"/>
  <sheetViews>
    <sheetView topLeftCell="A26" zoomScale="105" workbookViewId="0">
      <selection activeCell="B40" sqref="B40"/>
    </sheetView>
  </sheetViews>
  <sheetFormatPr baseColWidth="10" defaultRowHeight="14"/>
  <cols>
    <col min="1" max="1" width="18.83203125" customWidth="1"/>
    <col min="2" max="2" width="22.83203125" customWidth="1"/>
    <col min="3" max="3" width="15.58203125" customWidth="1"/>
    <col min="4" max="4" width="25.83203125" customWidth="1"/>
  </cols>
  <sheetData>
    <row r="1" spans="1:4" ht="14.5">
      <c r="A1" s="12" t="s">
        <v>29</v>
      </c>
      <c r="B1" s="12" t="s">
        <v>30</v>
      </c>
      <c r="C1" s="12" t="s">
        <v>31</v>
      </c>
      <c r="D1" s="12" t="s">
        <v>32</v>
      </c>
    </row>
    <row r="2" spans="1:4">
      <c r="A2" t="s">
        <v>33</v>
      </c>
      <c r="B2" s="11">
        <v>24000</v>
      </c>
      <c r="C2" s="11">
        <v>18000</v>
      </c>
      <c r="D2" s="11">
        <v>29000</v>
      </c>
    </row>
    <row r="3" spans="1:4">
      <c r="A3" t="s">
        <v>34</v>
      </c>
      <c r="B3" s="11">
        <v>25000</v>
      </c>
      <c r="C3" s="11">
        <v>22000</v>
      </c>
      <c r="D3" s="11">
        <v>30000</v>
      </c>
    </row>
    <row r="4" spans="1:4">
      <c r="A4" t="s">
        <v>35</v>
      </c>
      <c r="B4" s="11">
        <v>26000</v>
      </c>
      <c r="C4" s="11">
        <v>20000</v>
      </c>
      <c r="D4" s="11">
        <v>31000</v>
      </c>
    </row>
    <row r="5" spans="1:4">
      <c r="A5" t="s">
        <v>36</v>
      </c>
      <c r="B5" s="11">
        <v>25000</v>
      </c>
      <c r="C5" s="11">
        <v>35000</v>
      </c>
      <c r="D5" s="11">
        <v>32000</v>
      </c>
    </row>
    <row r="6" spans="1:4">
      <c r="A6" t="s">
        <v>37</v>
      </c>
      <c r="B6" s="11">
        <v>27000</v>
      </c>
      <c r="C6" s="11">
        <v>21000</v>
      </c>
      <c r="D6" s="11">
        <v>30000</v>
      </c>
    </row>
    <row r="7" spans="1:4">
      <c r="A7" t="s">
        <v>38</v>
      </c>
      <c r="B7" s="11">
        <v>26000</v>
      </c>
      <c r="C7" s="11">
        <v>19000</v>
      </c>
      <c r="D7" s="11">
        <v>33000</v>
      </c>
    </row>
    <row r="8" spans="1:4">
      <c r="A8" t="s">
        <v>39</v>
      </c>
      <c r="B8" s="11">
        <v>28000</v>
      </c>
      <c r="C8" s="11">
        <v>23000</v>
      </c>
      <c r="D8" s="11">
        <v>31000</v>
      </c>
    </row>
    <row r="9" spans="1:4">
      <c r="A9" t="s">
        <v>40</v>
      </c>
      <c r="B9" s="11">
        <v>27000</v>
      </c>
      <c r="C9" s="11">
        <v>20000</v>
      </c>
      <c r="D9" s="11">
        <v>34000</v>
      </c>
    </row>
    <row r="27" spans="1:4">
      <c r="B27" t="s">
        <v>60</v>
      </c>
      <c r="C27" t="s">
        <v>61</v>
      </c>
      <c r="D27" t="s">
        <v>62</v>
      </c>
    </row>
    <row r="28" spans="1:4">
      <c r="A28" t="s">
        <v>55</v>
      </c>
      <c r="B28">
        <f>AVERAGE(VentasTiendas[Tienda Centro])</f>
        <v>26000</v>
      </c>
      <c r="C28">
        <f>AVERAGE(VentasTiendas[Tienda Norte])</f>
        <v>22250</v>
      </c>
      <c r="D28">
        <f>AVERAGE(VentasTiendas[Tienda Sur])</f>
        <v>31250</v>
      </c>
    </row>
    <row r="29" spans="1:4">
      <c r="A29" t="s">
        <v>56</v>
      </c>
      <c r="B29">
        <f>MEDIAN(VentasTiendas[Tienda Centro])</f>
        <v>26000</v>
      </c>
      <c r="C29">
        <f>MEDIAN(VentasTiendas[Tienda Norte])</f>
        <v>20500</v>
      </c>
      <c r="D29">
        <f>MEDIAN(VentasTiendas[Tienda Sur])</f>
        <v>31000</v>
      </c>
    </row>
    <row r="30" spans="1:4">
      <c r="A30" t="s">
        <v>57</v>
      </c>
      <c r="B30">
        <f>MIN(VentasTiendas[Tienda Centro])</f>
        <v>24000</v>
      </c>
      <c r="C30">
        <f>MIN(VentasTiendas[Tienda Norte])</f>
        <v>18000</v>
      </c>
      <c r="D30">
        <f>MIN(VentasTiendas[Tienda Sur])</f>
        <v>29000</v>
      </c>
    </row>
    <row r="31" spans="1:4">
      <c r="A31" t="s">
        <v>58</v>
      </c>
      <c r="B31">
        <f>QUARTILE(VentasTiendas[Tienda Centro],1)</f>
        <v>25000</v>
      </c>
      <c r="C31">
        <f>QUARTILE(VentasTiendas[Tienda Norte],1)</f>
        <v>19750</v>
      </c>
      <c r="D31">
        <f>QUARTILE(VentasTiendas[Tienda Sur],1)</f>
        <v>30000</v>
      </c>
    </row>
    <row r="32" spans="1:4">
      <c r="A32" t="s">
        <v>59</v>
      </c>
      <c r="B32">
        <f>QUARTILE(VentasTiendas[Tienda Centro],3)</f>
        <v>27000</v>
      </c>
      <c r="C32">
        <f>QUARTILE(VentasTiendas[Tienda Norte],3)</f>
        <v>22250</v>
      </c>
      <c r="D32">
        <f>QUARTILE(VentasTiendas[Tienda Sur],3)</f>
        <v>32250</v>
      </c>
    </row>
    <row r="33" spans="1:4">
      <c r="A33" t="s">
        <v>63</v>
      </c>
      <c r="B33">
        <f>MAX(VentasTiendas[Tienda Centro])</f>
        <v>28000</v>
      </c>
      <c r="C33">
        <f>MAX(VentasTiendas[Tienda Norte])</f>
        <v>35000</v>
      </c>
      <c r="D33">
        <f>MAX(VentasTiendas[Tienda Sur])</f>
        <v>34000</v>
      </c>
    </row>
    <row r="34" spans="1:4">
      <c r="A34" t="s">
        <v>64</v>
      </c>
      <c r="B34" t="e" cm="1">
        <f t="array" ref="B34">Ran</f>
        <v>#NAME?</v>
      </c>
    </row>
    <row r="40" spans="1:4">
      <c r="A40" t="s">
        <v>65</v>
      </c>
    </row>
    <row r="41" spans="1:4">
      <c r="A41" t="s">
        <v>66</v>
      </c>
    </row>
    <row r="42" spans="1:4">
      <c r="A42" t="s">
        <v>67</v>
      </c>
    </row>
    <row r="43" spans="1:4">
      <c r="A43" t="s">
        <v>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F7A2-12E9-462B-99FC-B2D7CBB2EAFF}">
  <dimension ref="A1:D27"/>
  <sheetViews>
    <sheetView tabSelected="1" topLeftCell="A3" zoomScale="99" workbookViewId="0">
      <selection activeCell="B13" sqref="B13"/>
    </sheetView>
  </sheetViews>
  <sheetFormatPr baseColWidth="10" defaultRowHeight="14"/>
  <cols>
    <col min="1" max="1" width="25.08203125" customWidth="1"/>
    <col min="2" max="2" width="26" customWidth="1"/>
  </cols>
  <sheetData>
    <row r="1" spans="1:2">
      <c r="A1" s="13" t="s">
        <v>41</v>
      </c>
      <c r="B1" s="13" t="s">
        <v>42</v>
      </c>
    </row>
    <row r="2" spans="1:2">
      <c r="A2" s="14" t="s">
        <v>43</v>
      </c>
      <c r="B2" s="15">
        <v>1000</v>
      </c>
    </row>
    <row r="3" spans="1:2">
      <c r="A3" s="14" t="s">
        <v>44</v>
      </c>
      <c r="B3" s="15">
        <v>650</v>
      </c>
    </row>
    <row r="4" spans="1:2">
      <c r="A4" s="14" t="s">
        <v>45</v>
      </c>
      <c r="B4" s="15">
        <v>350</v>
      </c>
    </row>
    <row r="5" spans="1:2">
      <c r="A5" s="14" t="s">
        <v>46</v>
      </c>
      <c r="B5" s="15">
        <v>220</v>
      </c>
    </row>
    <row r="6" spans="1:2">
      <c r="A6" s="14" t="s">
        <v>47</v>
      </c>
      <c r="B6" s="15">
        <v>120</v>
      </c>
    </row>
    <row r="17" spans="1:4">
      <c r="A17" t="s">
        <v>69</v>
      </c>
    </row>
    <row r="18" spans="1:4">
      <c r="A18" t="s">
        <v>70</v>
      </c>
      <c r="B18" t="s">
        <v>71</v>
      </c>
    </row>
    <row r="19" spans="1:4">
      <c r="B19" t="s">
        <v>72</v>
      </c>
    </row>
    <row r="20" spans="1:4">
      <c r="A20" t="s">
        <v>73</v>
      </c>
      <c r="B20" t="s">
        <v>74</v>
      </c>
    </row>
    <row r="23" spans="1:4">
      <c r="A23" t="s">
        <v>43</v>
      </c>
      <c r="B23" s="15">
        <v>1000</v>
      </c>
      <c r="C23" s="17">
        <v>1</v>
      </c>
    </row>
    <row r="24" spans="1:4">
      <c r="A24" t="s">
        <v>75</v>
      </c>
      <c r="B24" s="15">
        <v>650</v>
      </c>
      <c r="C24" s="18">
        <f>B24/B23</f>
        <v>0.65</v>
      </c>
      <c r="D24">
        <f>1000-650</f>
        <v>350</v>
      </c>
    </row>
    <row r="25" spans="1:4">
      <c r="A25" t="s">
        <v>45</v>
      </c>
      <c r="B25" s="15">
        <v>350</v>
      </c>
      <c r="C25" s="18">
        <f t="shared" ref="C25:C27" si="0">B25/B24</f>
        <v>0.53846153846153844</v>
      </c>
      <c r="D25">
        <f>650-350</f>
        <v>300</v>
      </c>
    </row>
    <row r="26" spans="1:4">
      <c r="A26" t="s">
        <v>46</v>
      </c>
      <c r="B26" s="15">
        <v>220</v>
      </c>
      <c r="C26" s="18">
        <f t="shared" si="0"/>
        <v>0.62857142857142856</v>
      </c>
      <c r="D26">
        <f>350-220</f>
        <v>130</v>
      </c>
    </row>
    <row r="27" spans="1:4">
      <c r="A27" t="s">
        <v>76</v>
      </c>
      <c r="B27" s="15">
        <v>120</v>
      </c>
      <c r="C27" s="18">
        <f t="shared" si="0"/>
        <v>0.54545454545454541</v>
      </c>
      <c r="D27" s="16">
        <f>B26-B27</f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Datos_2a</vt:lpstr>
      <vt:lpstr>Datos_2b</vt:lpstr>
      <vt:lpstr>Datos_2c</vt:lpstr>
      <vt:lpstr>Datos_2d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harins</cp:lastModifiedBy>
  <dcterms:modified xsi:type="dcterms:W3CDTF">2026-05-12T18:32:06Z</dcterms:modified>
</cp:coreProperties>
</file>