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134600f1091d0c/Documentos/UNIE - Analiticas de Negocio/Análisis Estadístico para el Apoyo a la Toma de Decisiones Empresariales/"/>
    </mc:Choice>
  </mc:AlternateContent>
  <xr:revisionPtr revIDLastSave="0" documentId="8_{AE1F2BB1-FB22-4DB4-9257-18C9472CB2F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ocial_Media_Data" sheetId="2" r:id="rId1"/>
    <sheet name="Ejemplo_tabladinamica" sheetId="4" r:id="rId2"/>
    <sheet name="Sheet2" sheetId="6" r:id="rId3"/>
    <sheet name="Sheet1" sheetId="5" r:id="rId4"/>
  </sheets>
  <definedNames>
    <definedName name="_xlnm._FilterDatabase" localSheetId="0" hidden="1">Social_Media_Data!$A$1:$E$51</definedName>
  </definedNames>
  <calcPr calcId="191029"/>
  <pivotCaches>
    <pivotCache cacheId="16" r:id="rId5"/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4" i="4"/>
  <c r="C6" i="4"/>
  <c r="C7" i="4" l="1"/>
</calcChain>
</file>

<file path=xl/sharedStrings.xml><?xml version="1.0" encoding="utf-8"?>
<sst xmlns="http://schemas.openxmlformats.org/spreadsheetml/2006/main" count="219" uniqueCount="39">
  <si>
    <t>Platform</t>
  </si>
  <si>
    <t>Sentiment</t>
  </si>
  <si>
    <t>Mentions</t>
  </si>
  <si>
    <t>Keyword</t>
  </si>
  <si>
    <t>Facebook</t>
  </si>
  <si>
    <t>Twitter</t>
  </si>
  <si>
    <t>Instagram</t>
  </si>
  <si>
    <t>Negative</t>
  </si>
  <si>
    <t>Positive</t>
  </si>
  <si>
    <t>Neutral</t>
  </si>
  <si>
    <t>Service</t>
  </si>
  <si>
    <t>Price</t>
  </si>
  <si>
    <t>Delivery</t>
  </si>
  <si>
    <t>Quality</t>
  </si>
  <si>
    <t>Brand</t>
  </si>
  <si>
    <t>Id</t>
  </si>
  <si>
    <t>Etiquetas de fila</t>
  </si>
  <si>
    <t>Total general</t>
  </si>
  <si>
    <t>Suma de Mentions</t>
  </si>
  <si>
    <t>Porcentaje</t>
  </si>
  <si>
    <t xml:space="preserve">Dato : </t>
  </si>
  <si>
    <t>Información: ejemplos construidos al agrupar los datos</t>
  </si>
  <si>
    <t>Menciones por plataforma</t>
  </si>
  <si>
    <t>Menciones por sentimiento</t>
  </si>
  <si>
    <t xml:space="preserve">Menciones </t>
  </si>
  <si>
    <t>Menciones por sientimiento</t>
  </si>
  <si>
    <t>Row Labels</t>
  </si>
  <si>
    <t>Grand Total</t>
  </si>
  <si>
    <t>(blank)</t>
  </si>
  <si>
    <t>Sum of Mentions</t>
  </si>
  <si>
    <t>Column Labels</t>
  </si>
  <si>
    <t>Menciones por keyword</t>
  </si>
  <si>
    <t xml:space="preserve">Menciones por plataforma </t>
  </si>
  <si>
    <t>Conocimiento : patrones detectados</t>
  </si>
  <si>
    <t>Mas menciones y vistas en Facebook</t>
  </si>
  <si>
    <t>Precio del producto parece que tener muchas menciones negativas</t>
  </si>
  <si>
    <t>Aunque service tiene mas porcentaje de menciones neutrales. Tiene un porcentaje muy baja de menciones negativas</t>
  </si>
  <si>
    <t>Brand no tiene muchas menciones</t>
  </si>
  <si>
    <t>Delivery tiene muchos mentions y solo 15,35% es positivos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</si>
</sst>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9" fontId="0" fillId="0" borderId="1" xfId="1" applyFont="1" applyBorder="1"/>
    <xf numFmtId="9" fontId="1" fillId="2" borderId="1" xfId="1" applyFont="1" applyFill="1" applyBorder="1"/>
    <xf numFmtId="0" fontId="0" fillId="0" borderId="0" xfId="0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NumberFormat="1" applyBorder="1"/>
    <xf numFmtId="0" fontId="0" fillId="3" borderId="0" xfId="0" applyFill="1"/>
    <xf numFmtId="0" fontId="0" fillId="0" borderId="0" xfId="0" pivotButton="1" applyAlignment="1">
      <alignment horizontal="center"/>
    </xf>
    <xf numFmtId="10" fontId="0" fillId="0" borderId="0" xfId="0" applyNumberFormat="1"/>
    <xf numFmtId="10" fontId="0" fillId="0" borderId="1" xfId="0" applyNumberFormat="1" applyBorder="1"/>
    <xf numFmtId="0" fontId="0" fillId="4" borderId="1" xfId="0" applyFill="1" applyBorder="1"/>
  </cellXfs>
  <cellStyles count="2">
    <cellStyle name="Normal" xfId="0" builtinId="0"/>
    <cellStyle name="Percent" xfId="1" builtinId="5"/>
  </cellStyles>
  <dxfs count="7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Muñoz Bahamonde" refreshedDate="45599.923383333335" createdVersion="6" refreshedVersion="6" minRefreshableVersion="3" recordCount="50" xr:uid="{68A1C7B4-9FA5-4339-950E-DF2B7B497B37}">
  <cacheSource type="worksheet">
    <worksheetSource ref="A1:E51" sheet="Social_Media_Data"/>
  </cacheSource>
  <cacheFields count="5">
    <cacheField name="Id" numFmtId="1">
      <sharedItems containsSemiMixedTypes="0" containsString="0" containsNumber="1" containsInteger="1" minValue="1" maxValue="50"/>
    </cacheField>
    <cacheField name="Platform" numFmtId="0">
      <sharedItems count="3">
        <s v="Facebook"/>
        <s v="Twitter"/>
        <s v="Instagram"/>
      </sharedItems>
    </cacheField>
    <cacheField name="Sentiment" numFmtId="0">
      <sharedItems count="3">
        <s v="Negative"/>
        <s v="Positive"/>
        <s v="Neutral"/>
      </sharedItems>
    </cacheField>
    <cacheField name="Mentions" numFmtId="0">
      <sharedItems containsSemiMixedTypes="0" containsString="0" containsNumber="1" containsInteger="1" minValue="3" maxValue="99" count="38">
        <n v="77"/>
        <n v="92"/>
        <n v="22"/>
        <n v="76"/>
        <n v="8"/>
        <n v="78"/>
        <n v="73"/>
        <n v="44"/>
        <n v="21"/>
        <n v="31"/>
        <n v="37"/>
        <n v="46"/>
        <n v="69"/>
        <n v="58"/>
        <n v="83"/>
        <n v="97"/>
        <n v="14"/>
        <n v="11"/>
        <n v="24"/>
        <n v="82"/>
        <n v="25"/>
        <n v="75"/>
        <n v="93"/>
        <n v="33"/>
        <n v="13"/>
        <n v="66"/>
        <n v="95"/>
        <n v="61"/>
        <n v="98"/>
        <n v="3"/>
        <n v="99"/>
        <n v="55"/>
        <n v="87"/>
        <n v="71"/>
        <n v="67"/>
        <n v="72"/>
        <n v="49"/>
        <n v="16"/>
      </sharedItems>
    </cacheField>
    <cacheField name="Keyword" numFmtId="0">
      <sharedItems count="5">
        <s v="Service"/>
        <s v="Price"/>
        <s v="Delivery"/>
        <s v="Quality"/>
        <s v="Bra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Harins" refreshedDate="46147.804399305554" createdVersion="8" refreshedVersion="8" minRefreshableVersion="3" recordCount="1" xr:uid="{9E5E96B2-A7BE-42B5-AB98-DDAFEA8850D2}">
  <cacheSource type="worksheet">
    <worksheetSource ref="A1:F2" sheet="Sheet2"/>
  </cacheSource>
  <cacheFields count="6">
    <cacheField name="Field1" caption="Field1" numFmtId="0">
      <sharedItems containsNonDate="0" containsString="0" containsBlank="1" count="1">
        <m/>
      </sharedItems>
    </cacheField>
    <cacheField name="Field2" caption="Field2" numFmtId="0">
      <sharedItems containsNonDate="0" containsString="0" containsBlank="1" count="1">
        <m/>
      </sharedItems>
    </cacheField>
    <cacheField name="Field3" caption="Field3" numFmtId="0">
      <sharedItems containsNonDate="0" containsString="0" containsBlank="1" count="1">
        <m/>
      </sharedItems>
    </cacheField>
    <cacheField name="Field4" caption="Field4" numFmtId="0">
      <sharedItems containsNonDate="0" containsString="0" containsBlank="1" count="1">
        <m/>
      </sharedItems>
    </cacheField>
    <cacheField name="Field5" caption="Field5" numFmtId="0">
      <sharedItems containsNonDate="0" containsString="0" containsBlank="1" count="1">
        <m/>
      </sharedItems>
    </cacheField>
    <cacheField name="Field6" caption="Field6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x v="0"/>
    <x v="0"/>
    <x v="0"/>
    <x v="0"/>
  </r>
  <r>
    <n v="2"/>
    <x v="1"/>
    <x v="0"/>
    <x v="1"/>
    <x v="1"/>
  </r>
  <r>
    <n v="3"/>
    <x v="1"/>
    <x v="1"/>
    <x v="2"/>
    <x v="2"/>
  </r>
  <r>
    <n v="4"/>
    <x v="0"/>
    <x v="1"/>
    <x v="3"/>
    <x v="3"/>
  </r>
  <r>
    <n v="5"/>
    <x v="0"/>
    <x v="0"/>
    <x v="4"/>
    <x v="0"/>
  </r>
  <r>
    <n v="6"/>
    <x v="1"/>
    <x v="1"/>
    <x v="5"/>
    <x v="1"/>
  </r>
  <r>
    <n v="7"/>
    <x v="1"/>
    <x v="2"/>
    <x v="6"/>
    <x v="0"/>
  </r>
  <r>
    <n v="8"/>
    <x v="0"/>
    <x v="1"/>
    <x v="3"/>
    <x v="2"/>
  </r>
  <r>
    <n v="9"/>
    <x v="1"/>
    <x v="1"/>
    <x v="0"/>
    <x v="1"/>
  </r>
  <r>
    <n v="10"/>
    <x v="0"/>
    <x v="0"/>
    <x v="7"/>
    <x v="3"/>
  </r>
  <r>
    <n v="11"/>
    <x v="1"/>
    <x v="0"/>
    <x v="8"/>
    <x v="3"/>
  </r>
  <r>
    <n v="12"/>
    <x v="2"/>
    <x v="2"/>
    <x v="9"/>
    <x v="0"/>
  </r>
  <r>
    <n v="13"/>
    <x v="0"/>
    <x v="1"/>
    <x v="10"/>
    <x v="3"/>
  </r>
  <r>
    <n v="14"/>
    <x v="2"/>
    <x v="1"/>
    <x v="4"/>
    <x v="0"/>
  </r>
  <r>
    <n v="15"/>
    <x v="1"/>
    <x v="0"/>
    <x v="11"/>
    <x v="4"/>
  </r>
  <r>
    <n v="16"/>
    <x v="2"/>
    <x v="2"/>
    <x v="12"/>
    <x v="0"/>
  </r>
  <r>
    <n v="17"/>
    <x v="0"/>
    <x v="2"/>
    <x v="13"/>
    <x v="0"/>
  </r>
  <r>
    <n v="18"/>
    <x v="2"/>
    <x v="0"/>
    <x v="14"/>
    <x v="2"/>
  </r>
  <r>
    <n v="19"/>
    <x v="1"/>
    <x v="1"/>
    <x v="15"/>
    <x v="2"/>
  </r>
  <r>
    <n v="20"/>
    <x v="1"/>
    <x v="2"/>
    <x v="16"/>
    <x v="4"/>
  </r>
  <r>
    <n v="21"/>
    <x v="2"/>
    <x v="0"/>
    <x v="17"/>
    <x v="3"/>
  </r>
  <r>
    <n v="22"/>
    <x v="1"/>
    <x v="2"/>
    <x v="18"/>
    <x v="4"/>
  </r>
  <r>
    <n v="23"/>
    <x v="0"/>
    <x v="0"/>
    <x v="19"/>
    <x v="3"/>
  </r>
  <r>
    <n v="24"/>
    <x v="2"/>
    <x v="1"/>
    <x v="4"/>
    <x v="4"/>
  </r>
  <r>
    <n v="25"/>
    <x v="2"/>
    <x v="0"/>
    <x v="20"/>
    <x v="0"/>
  </r>
  <r>
    <n v="26"/>
    <x v="1"/>
    <x v="0"/>
    <x v="21"/>
    <x v="1"/>
  </r>
  <r>
    <n v="27"/>
    <x v="0"/>
    <x v="2"/>
    <x v="22"/>
    <x v="2"/>
  </r>
  <r>
    <n v="28"/>
    <x v="0"/>
    <x v="1"/>
    <x v="8"/>
    <x v="3"/>
  </r>
  <r>
    <n v="29"/>
    <x v="2"/>
    <x v="1"/>
    <x v="23"/>
    <x v="3"/>
  </r>
  <r>
    <n v="30"/>
    <x v="1"/>
    <x v="2"/>
    <x v="24"/>
    <x v="4"/>
  </r>
  <r>
    <n v="31"/>
    <x v="2"/>
    <x v="2"/>
    <x v="25"/>
    <x v="0"/>
  </r>
  <r>
    <n v="32"/>
    <x v="0"/>
    <x v="0"/>
    <x v="26"/>
    <x v="0"/>
  </r>
  <r>
    <n v="33"/>
    <x v="0"/>
    <x v="1"/>
    <x v="27"/>
    <x v="3"/>
  </r>
  <r>
    <n v="34"/>
    <x v="0"/>
    <x v="2"/>
    <x v="20"/>
    <x v="3"/>
  </r>
  <r>
    <n v="35"/>
    <x v="0"/>
    <x v="2"/>
    <x v="14"/>
    <x v="2"/>
  </r>
  <r>
    <n v="36"/>
    <x v="2"/>
    <x v="2"/>
    <x v="28"/>
    <x v="1"/>
  </r>
  <r>
    <n v="37"/>
    <x v="0"/>
    <x v="1"/>
    <x v="29"/>
    <x v="4"/>
  </r>
  <r>
    <n v="38"/>
    <x v="0"/>
    <x v="1"/>
    <x v="22"/>
    <x v="2"/>
  </r>
  <r>
    <n v="39"/>
    <x v="1"/>
    <x v="0"/>
    <x v="30"/>
    <x v="1"/>
  </r>
  <r>
    <n v="40"/>
    <x v="1"/>
    <x v="0"/>
    <x v="17"/>
    <x v="3"/>
  </r>
  <r>
    <n v="41"/>
    <x v="0"/>
    <x v="0"/>
    <x v="31"/>
    <x v="4"/>
  </r>
  <r>
    <n v="42"/>
    <x v="1"/>
    <x v="1"/>
    <x v="15"/>
    <x v="4"/>
  </r>
  <r>
    <n v="43"/>
    <x v="1"/>
    <x v="1"/>
    <x v="14"/>
    <x v="0"/>
  </r>
  <r>
    <n v="44"/>
    <x v="0"/>
    <x v="0"/>
    <x v="32"/>
    <x v="1"/>
  </r>
  <r>
    <n v="45"/>
    <x v="2"/>
    <x v="0"/>
    <x v="33"/>
    <x v="2"/>
  </r>
  <r>
    <n v="46"/>
    <x v="0"/>
    <x v="2"/>
    <x v="34"/>
    <x v="4"/>
  </r>
  <r>
    <n v="47"/>
    <x v="1"/>
    <x v="1"/>
    <x v="35"/>
    <x v="3"/>
  </r>
  <r>
    <n v="48"/>
    <x v="2"/>
    <x v="0"/>
    <x v="36"/>
    <x v="3"/>
  </r>
  <r>
    <n v="49"/>
    <x v="2"/>
    <x v="2"/>
    <x v="31"/>
    <x v="2"/>
  </r>
  <r>
    <n v="50"/>
    <x v="0"/>
    <x v="2"/>
    <x v="37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F126A-4925-4EEB-9EF7-A21C653EA3FE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2:E39" firstHeaderRow="1" firstDataRow="2" firstDataCol="1"/>
  <pivotFields count="5">
    <pivotField numFmtId="1" showAll="0"/>
    <pivotField showAll="0"/>
    <pivotField axis="axisCol" showAll="0">
      <items count="4">
        <item x="0"/>
        <item x="2"/>
        <item x="1"/>
        <item t="default"/>
      </items>
    </pivotField>
    <pivotField dataField="1" showAll="0">
      <items count="39">
        <item x="29"/>
        <item x="4"/>
        <item x="17"/>
        <item x="24"/>
        <item x="16"/>
        <item x="37"/>
        <item x="8"/>
        <item x="2"/>
        <item x="18"/>
        <item x="20"/>
        <item x="9"/>
        <item x="23"/>
        <item x="10"/>
        <item x="7"/>
        <item x="11"/>
        <item x="36"/>
        <item x="31"/>
        <item x="13"/>
        <item x="27"/>
        <item x="25"/>
        <item x="34"/>
        <item x="12"/>
        <item x="33"/>
        <item x="35"/>
        <item x="6"/>
        <item x="21"/>
        <item x="3"/>
        <item x="0"/>
        <item x="5"/>
        <item x="19"/>
        <item x="14"/>
        <item x="32"/>
        <item x="1"/>
        <item x="22"/>
        <item x="26"/>
        <item x="15"/>
        <item x="28"/>
        <item x="30"/>
        <item t="default"/>
      </items>
    </pivotField>
    <pivotField axis="axisRow" showAll="0">
      <items count="6">
        <item x="4"/>
        <item x="2"/>
        <item x="1"/>
        <item x="3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Mentions" fld="3" showDataAs="percentOfRow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443A9-A04F-416B-9897-8F3E183E66F8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25:E30" firstHeaderRow="1" firstDataRow="2" firstDataCol="1"/>
  <pivotFields count="5">
    <pivotField numFmtId="1" showAll="0"/>
    <pivotField axis="axisRow" showAll="0">
      <items count="4">
        <item x="0"/>
        <item x="2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Mentions" fld="3" showDataAs="percentOfRow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65217-970B-4C8E-B71F-1942B17EBD0D}" name="PivotTable5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17:C23" firstHeaderRow="0" firstDataRow="1" firstDataCol="1"/>
  <pivotFields count="5">
    <pivotField numFmtId="1" showAll="0"/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dataField="1" showAll="0"/>
    <pivotField axis="axisRow" showAll="0">
      <items count="6">
        <item x="4"/>
        <item x="2"/>
        <item x="1"/>
        <item x="3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Mentions" fld="3" baseField="0" baseItem="0"/>
    <dataField name="Porcentaje" fld="3" showDataAs="percentOfCol" baseField="4" baseItem="0" numFmtId="10"/>
  </dataFields>
  <formats count="6">
    <format dxfId="46">
      <pivotArea type="all" dataOnly="0" outline="0" fieldPosition="0"/>
    </format>
    <format dxfId="47">
      <pivotArea outline="0" collapsedLevelsAreSubtotals="1" fieldPosition="0"/>
    </format>
    <format dxfId="48">
      <pivotArea field="1" type="button" dataOnly="0" labelOnly="1" outline="0"/>
    </format>
    <format dxfId="49">
      <pivotArea dataOnly="0" labelOnly="1" grandRow="1" outline="0" fieldPosition="0"/>
    </format>
    <format dxfId="50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B86D2-3D88-47D2-A0EE-2011B4E4EE68}" name="PivotTable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10:C14" firstHeaderRow="0" firstDataRow="1" firstDataCol="1"/>
  <pivotFields count="5">
    <pivotField numFmtId="1" showAll="0"/>
    <pivotField showAll="0">
      <items count="4">
        <item sd="0" x="0"/>
        <item sd="0" x="2"/>
        <item sd="0" x="1"/>
        <item t="default" sd="0"/>
      </items>
    </pivotField>
    <pivotField axis="axisRow" showAll="0">
      <items count="4">
        <item x="0"/>
        <item x="2"/>
        <item x="1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entions" fld="3" baseField="0" baseItem="0"/>
    <dataField name="Porcentaje" fld="3" showDataAs="percentOfCol" baseField="2" baseItem="0" numFmtId="10"/>
  </dataFields>
  <formats count="6">
    <format dxfId="67">
      <pivotArea type="all" dataOnly="0" outline="0" fieldPosition="0"/>
    </format>
    <format dxfId="68">
      <pivotArea outline="0" collapsedLevelsAreSubtotals="1" fieldPosition="0"/>
    </format>
    <format dxfId="69">
      <pivotArea field="1" type="button" dataOnly="0" labelOnly="1" outline="0"/>
    </format>
    <format dxfId="70">
      <pivotArea dataOnly="0" labelOnly="1" grandRow="1" outline="0" fieldPosition="0"/>
    </format>
    <format dxfId="71">
      <pivotArea dataOnly="0" labelOnly="1" outline="0" axis="axisValues" fieldPosition="0"/>
    </format>
    <format dxfId="23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F0EFF5-F796-420E-9DD1-03D390AFF4A5}" name="TablaDinámica1" cacheId="1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7" firstHeaderRow="1" firstDataRow="1" firstDataCol="1"/>
  <pivotFields count="5">
    <pivotField numFmtId="1" showAll="0"/>
    <pivotField axis="axisRow"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Mentions" fld="3" baseField="0" baseItem="0"/>
  </dataFields>
  <formats count="6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" type="button" dataOnly="0" labelOnly="1" outline="0" axis="axisRow" fieldPosition="0"/>
    </format>
    <format dxfId="74">
      <pivotArea dataOnly="0" labelOnly="1" fieldPosition="0">
        <references count="1">
          <reference field="1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3C833-B325-479C-B9BD-7475F34A6E64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mergeItem="1" createdVersion="8" indent="0" outline="1" outlineData="1" multipleFieldFilters="0">
  <location ref="A1:A3" firstHeaderRow="1" firstDataRow="1" firstDataCol="1"/>
  <pivotFields count="6">
    <pivotField axis="axisRow" showAll="0">
      <items count="2">
        <item sd="0" x="0"/>
        <item t="default"/>
      </items>
    </pivotField>
    <pivotField axis="axisRow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</pivotFields>
  <rowFields count="2">
    <field x="0"/>
    <field x="1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zoomScale="90" zoomScaleNormal="90" workbookViewId="0">
      <selection sqref="A1:E51"/>
    </sheetView>
  </sheetViews>
  <sheetFormatPr defaultColWidth="8.81640625" defaultRowHeight="14.5" x14ac:dyDescent="0.35"/>
  <cols>
    <col min="1" max="1" width="18" bestFit="1" customWidth="1"/>
    <col min="2" max="2" width="16.81640625" customWidth="1"/>
    <col min="3" max="3" width="20" customWidth="1"/>
    <col min="4" max="4" width="17.1796875" customWidth="1"/>
    <col min="5" max="5" width="24.81640625" customWidth="1"/>
  </cols>
  <sheetData>
    <row r="1" spans="1:8" x14ac:dyDescent="0.3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5">
      <c r="A2" s="2">
        <v>1</v>
      </c>
      <c r="B2" t="s">
        <v>4</v>
      </c>
      <c r="C2" t="s">
        <v>7</v>
      </c>
      <c r="D2">
        <v>77</v>
      </c>
      <c r="E2" t="s">
        <v>10</v>
      </c>
    </row>
    <row r="3" spans="1:8" x14ac:dyDescent="0.35">
      <c r="A3" s="2">
        <v>2</v>
      </c>
      <c r="B3" t="s">
        <v>5</v>
      </c>
      <c r="C3" t="s">
        <v>7</v>
      </c>
      <c r="D3">
        <v>92</v>
      </c>
      <c r="E3" t="s">
        <v>11</v>
      </c>
    </row>
    <row r="4" spans="1:8" x14ac:dyDescent="0.35">
      <c r="A4" s="2">
        <v>3</v>
      </c>
      <c r="B4" t="s">
        <v>5</v>
      </c>
      <c r="C4" t="s">
        <v>8</v>
      </c>
      <c r="D4">
        <v>22</v>
      </c>
      <c r="E4" t="s">
        <v>12</v>
      </c>
      <c r="H4" t="s">
        <v>20</v>
      </c>
    </row>
    <row r="5" spans="1:8" x14ac:dyDescent="0.35">
      <c r="A5" s="2">
        <v>4</v>
      </c>
      <c r="B5" t="s">
        <v>4</v>
      </c>
      <c r="C5" t="s">
        <v>8</v>
      </c>
      <c r="D5">
        <v>76</v>
      </c>
      <c r="E5" t="s">
        <v>13</v>
      </c>
    </row>
    <row r="6" spans="1:8" x14ac:dyDescent="0.35">
      <c r="A6" s="2">
        <v>5</v>
      </c>
      <c r="B6" t="s">
        <v>4</v>
      </c>
      <c r="C6" t="s">
        <v>7</v>
      </c>
      <c r="D6">
        <v>8</v>
      </c>
      <c r="E6" t="s">
        <v>10</v>
      </c>
    </row>
    <row r="7" spans="1:8" x14ac:dyDescent="0.35">
      <c r="A7" s="2">
        <v>6</v>
      </c>
      <c r="B7" t="s">
        <v>5</v>
      </c>
      <c r="C7" t="s">
        <v>8</v>
      </c>
      <c r="D7">
        <v>78</v>
      </c>
      <c r="E7" t="s">
        <v>11</v>
      </c>
      <c r="H7" t="s">
        <v>21</v>
      </c>
    </row>
    <row r="8" spans="1:8" x14ac:dyDescent="0.35">
      <c r="A8" s="2">
        <v>7</v>
      </c>
      <c r="B8" t="s">
        <v>5</v>
      </c>
      <c r="C8" t="s">
        <v>9</v>
      </c>
      <c r="D8">
        <v>73</v>
      </c>
      <c r="E8" t="s">
        <v>10</v>
      </c>
    </row>
    <row r="9" spans="1:8" x14ac:dyDescent="0.35">
      <c r="A9" s="2">
        <v>8</v>
      </c>
      <c r="B9" t="s">
        <v>4</v>
      </c>
      <c r="C9" t="s">
        <v>8</v>
      </c>
      <c r="D9">
        <v>76</v>
      </c>
      <c r="E9" t="s">
        <v>12</v>
      </c>
      <c r="H9" t="s">
        <v>22</v>
      </c>
    </row>
    <row r="10" spans="1:8" x14ac:dyDescent="0.35">
      <c r="A10" s="2">
        <v>9</v>
      </c>
      <c r="B10" t="s">
        <v>5</v>
      </c>
      <c r="C10" t="s">
        <v>8</v>
      </c>
      <c r="D10">
        <v>77</v>
      </c>
      <c r="E10" t="s">
        <v>11</v>
      </c>
      <c r="H10" t="s">
        <v>23</v>
      </c>
    </row>
    <row r="11" spans="1:8" x14ac:dyDescent="0.35">
      <c r="A11" s="2">
        <v>10</v>
      </c>
      <c r="B11" t="s">
        <v>4</v>
      </c>
      <c r="C11" t="s">
        <v>7</v>
      </c>
      <c r="D11">
        <v>44</v>
      </c>
      <c r="E11" t="s">
        <v>13</v>
      </c>
      <c r="H11" t="s">
        <v>24</v>
      </c>
    </row>
    <row r="12" spans="1:8" x14ac:dyDescent="0.35">
      <c r="A12" s="2">
        <v>11</v>
      </c>
      <c r="B12" t="s">
        <v>5</v>
      </c>
      <c r="C12" t="s">
        <v>7</v>
      </c>
      <c r="D12">
        <v>21</v>
      </c>
      <c r="E12" t="s">
        <v>13</v>
      </c>
    </row>
    <row r="13" spans="1:8" x14ac:dyDescent="0.35">
      <c r="A13" s="2">
        <v>12</v>
      </c>
      <c r="B13" t="s">
        <v>6</v>
      </c>
      <c r="C13" t="s">
        <v>9</v>
      </c>
      <c r="D13">
        <v>31</v>
      </c>
      <c r="E13" t="s">
        <v>10</v>
      </c>
    </row>
    <row r="14" spans="1:8" x14ac:dyDescent="0.35">
      <c r="A14" s="2">
        <v>13</v>
      </c>
      <c r="B14" t="s">
        <v>4</v>
      </c>
      <c r="C14" t="s">
        <v>8</v>
      </c>
      <c r="D14">
        <v>37</v>
      </c>
      <c r="E14" t="s">
        <v>13</v>
      </c>
    </row>
    <row r="15" spans="1:8" x14ac:dyDescent="0.35">
      <c r="A15" s="2">
        <v>14</v>
      </c>
      <c r="B15" t="s">
        <v>6</v>
      </c>
      <c r="C15" t="s">
        <v>8</v>
      </c>
      <c r="D15">
        <v>8</v>
      </c>
      <c r="E15" t="s">
        <v>10</v>
      </c>
    </row>
    <row r="16" spans="1:8" x14ac:dyDescent="0.35">
      <c r="A16" s="2">
        <v>15</v>
      </c>
      <c r="B16" t="s">
        <v>5</v>
      </c>
      <c r="C16" t="s">
        <v>7</v>
      </c>
      <c r="D16">
        <v>46</v>
      </c>
      <c r="E16" t="s">
        <v>14</v>
      </c>
    </row>
    <row r="17" spans="1:5" x14ac:dyDescent="0.35">
      <c r="A17" s="2">
        <v>16</v>
      </c>
      <c r="B17" t="s">
        <v>6</v>
      </c>
      <c r="C17" t="s">
        <v>9</v>
      </c>
      <c r="D17">
        <v>69</v>
      </c>
      <c r="E17" t="s">
        <v>10</v>
      </c>
    </row>
    <row r="18" spans="1:5" x14ac:dyDescent="0.35">
      <c r="A18" s="2">
        <v>17</v>
      </c>
      <c r="B18" t="s">
        <v>4</v>
      </c>
      <c r="C18" t="s">
        <v>9</v>
      </c>
      <c r="D18">
        <v>58</v>
      </c>
      <c r="E18" t="s">
        <v>10</v>
      </c>
    </row>
    <row r="19" spans="1:5" x14ac:dyDescent="0.35">
      <c r="A19" s="2">
        <v>18</v>
      </c>
      <c r="B19" t="s">
        <v>6</v>
      </c>
      <c r="C19" t="s">
        <v>7</v>
      </c>
      <c r="D19">
        <v>83</v>
      </c>
      <c r="E19" t="s">
        <v>12</v>
      </c>
    </row>
    <row r="20" spans="1:5" x14ac:dyDescent="0.35">
      <c r="A20" s="2">
        <v>19</v>
      </c>
      <c r="B20" t="s">
        <v>5</v>
      </c>
      <c r="C20" t="s">
        <v>8</v>
      </c>
      <c r="D20">
        <v>97</v>
      </c>
      <c r="E20" t="s">
        <v>12</v>
      </c>
    </row>
    <row r="21" spans="1:5" x14ac:dyDescent="0.35">
      <c r="A21" s="2">
        <v>20</v>
      </c>
      <c r="B21" t="s">
        <v>5</v>
      </c>
      <c r="C21" t="s">
        <v>9</v>
      </c>
      <c r="D21">
        <v>14</v>
      </c>
      <c r="E21" t="s">
        <v>14</v>
      </c>
    </row>
    <row r="22" spans="1:5" x14ac:dyDescent="0.35">
      <c r="A22" s="2">
        <v>21</v>
      </c>
      <c r="B22" t="s">
        <v>6</v>
      </c>
      <c r="C22" t="s">
        <v>7</v>
      </c>
      <c r="D22">
        <v>11</v>
      </c>
      <c r="E22" t="s">
        <v>13</v>
      </c>
    </row>
    <row r="23" spans="1:5" x14ac:dyDescent="0.35">
      <c r="A23" s="2">
        <v>22</v>
      </c>
      <c r="B23" t="s">
        <v>5</v>
      </c>
      <c r="C23" t="s">
        <v>9</v>
      </c>
      <c r="D23">
        <v>24</v>
      </c>
      <c r="E23" t="s">
        <v>14</v>
      </c>
    </row>
    <row r="24" spans="1:5" x14ac:dyDescent="0.35">
      <c r="A24" s="2">
        <v>23</v>
      </c>
      <c r="B24" t="s">
        <v>4</v>
      </c>
      <c r="C24" t="s">
        <v>7</v>
      </c>
      <c r="D24">
        <v>82</v>
      </c>
      <c r="E24" t="s">
        <v>13</v>
      </c>
    </row>
    <row r="25" spans="1:5" x14ac:dyDescent="0.35">
      <c r="A25" s="2">
        <v>24</v>
      </c>
      <c r="B25" t="s">
        <v>6</v>
      </c>
      <c r="C25" t="s">
        <v>8</v>
      </c>
      <c r="D25">
        <v>8</v>
      </c>
      <c r="E25" t="s">
        <v>14</v>
      </c>
    </row>
    <row r="26" spans="1:5" x14ac:dyDescent="0.35">
      <c r="A26" s="2">
        <v>25</v>
      </c>
      <c r="B26" t="s">
        <v>6</v>
      </c>
      <c r="C26" t="s">
        <v>7</v>
      </c>
      <c r="D26">
        <v>25</v>
      </c>
      <c r="E26" t="s">
        <v>10</v>
      </c>
    </row>
    <row r="27" spans="1:5" x14ac:dyDescent="0.35">
      <c r="A27" s="2">
        <v>26</v>
      </c>
      <c r="B27" t="s">
        <v>5</v>
      </c>
      <c r="C27" t="s">
        <v>7</v>
      </c>
      <c r="D27">
        <v>75</v>
      </c>
      <c r="E27" t="s">
        <v>11</v>
      </c>
    </row>
    <row r="28" spans="1:5" x14ac:dyDescent="0.35">
      <c r="A28" s="2">
        <v>27</v>
      </c>
      <c r="B28" t="s">
        <v>4</v>
      </c>
      <c r="C28" t="s">
        <v>9</v>
      </c>
      <c r="D28">
        <v>93</v>
      </c>
      <c r="E28" t="s">
        <v>12</v>
      </c>
    </row>
    <row r="29" spans="1:5" x14ac:dyDescent="0.35">
      <c r="A29" s="2">
        <v>28</v>
      </c>
      <c r="B29" t="s">
        <v>4</v>
      </c>
      <c r="C29" t="s">
        <v>8</v>
      </c>
      <c r="D29">
        <v>21</v>
      </c>
      <c r="E29" t="s">
        <v>13</v>
      </c>
    </row>
    <row r="30" spans="1:5" x14ac:dyDescent="0.35">
      <c r="A30" s="2">
        <v>29</v>
      </c>
      <c r="B30" t="s">
        <v>6</v>
      </c>
      <c r="C30" t="s">
        <v>8</v>
      </c>
      <c r="D30">
        <v>33</v>
      </c>
      <c r="E30" t="s">
        <v>13</v>
      </c>
    </row>
    <row r="31" spans="1:5" x14ac:dyDescent="0.35">
      <c r="A31" s="2">
        <v>30</v>
      </c>
      <c r="B31" t="s">
        <v>5</v>
      </c>
      <c r="C31" t="s">
        <v>9</v>
      </c>
      <c r="D31">
        <v>13</v>
      </c>
      <c r="E31" t="s">
        <v>14</v>
      </c>
    </row>
    <row r="32" spans="1:5" x14ac:dyDescent="0.35">
      <c r="A32" s="2">
        <v>31</v>
      </c>
      <c r="B32" t="s">
        <v>6</v>
      </c>
      <c r="C32" t="s">
        <v>9</v>
      </c>
      <c r="D32">
        <v>66</v>
      </c>
      <c r="E32" t="s">
        <v>10</v>
      </c>
    </row>
    <row r="33" spans="1:5" x14ac:dyDescent="0.35">
      <c r="A33" s="2">
        <v>32</v>
      </c>
      <c r="B33" t="s">
        <v>4</v>
      </c>
      <c r="C33" t="s">
        <v>7</v>
      </c>
      <c r="D33">
        <v>95</v>
      </c>
      <c r="E33" t="s">
        <v>10</v>
      </c>
    </row>
    <row r="34" spans="1:5" x14ac:dyDescent="0.35">
      <c r="A34" s="2">
        <v>33</v>
      </c>
      <c r="B34" t="s">
        <v>4</v>
      </c>
      <c r="C34" t="s">
        <v>8</v>
      </c>
      <c r="D34">
        <v>61</v>
      </c>
      <c r="E34" t="s">
        <v>13</v>
      </c>
    </row>
    <row r="35" spans="1:5" x14ac:dyDescent="0.35">
      <c r="A35" s="2">
        <v>34</v>
      </c>
      <c r="B35" t="s">
        <v>4</v>
      </c>
      <c r="C35" t="s">
        <v>9</v>
      </c>
      <c r="D35">
        <v>25</v>
      </c>
      <c r="E35" t="s">
        <v>13</v>
      </c>
    </row>
    <row r="36" spans="1:5" x14ac:dyDescent="0.35">
      <c r="A36" s="2">
        <v>35</v>
      </c>
      <c r="B36" t="s">
        <v>4</v>
      </c>
      <c r="C36" t="s">
        <v>9</v>
      </c>
      <c r="D36">
        <v>83</v>
      </c>
      <c r="E36" t="s">
        <v>12</v>
      </c>
    </row>
    <row r="37" spans="1:5" x14ac:dyDescent="0.35">
      <c r="A37" s="2">
        <v>36</v>
      </c>
      <c r="B37" t="s">
        <v>6</v>
      </c>
      <c r="C37" t="s">
        <v>9</v>
      </c>
      <c r="D37">
        <v>98</v>
      </c>
      <c r="E37" t="s">
        <v>11</v>
      </c>
    </row>
    <row r="38" spans="1:5" x14ac:dyDescent="0.35">
      <c r="A38" s="2">
        <v>37</v>
      </c>
      <c r="B38" t="s">
        <v>4</v>
      </c>
      <c r="C38" t="s">
        <v>8</v>
      </c>
      <c r="D38">
        <v>3</v>
      </c>
      <c r="E38" t="s">
        <v>14</v>
      </c>
    </row>
    <row r="39" spans="1:5" x14ac:dyDescent="0.35">
      <c r="A39" s="2">
        <v>38</v>
      </c>
      <c r="B39" t="s">
        <v>4</v>
      </c>
      <c r="C39" t="s">
        <v>8</v>
      </c>
      <c r="D39">
        <v>93</v>
      </c>
      <c r="E39" t="s">
        <v>12</v>
      </c>
    </row>
    <row r="40" spans="1:5" x14ac:dyDescent="0.35">
      <c r="A40" s="2">
        <v>39</v>
      </c>
      <c r="B40" t="s">
        <v>5</v>
      </c>
      <c r="C40" t="s">
        <v>7</v>
      </c>
      <c r="D40">
        <v>99</v>
      </c>
      <c r="E40" t="s">
        <v>11</v>
      </c>
    </row>
    <row r="41" spans="1:5" x14ac:dyDescent="0.35">
      <c r="A41" s="2">
        <v>40</v>
      </c>
      <c r="B41" t="s">
        <v>5</v>
      </c>
      <c r="C41" t="s">
        <v>7</v>
      </c>
      <c r="D41">
        <v>11</v>
      </c>
      <c r="E41" t="s">
        <v>13</v>
      </c>
    </row>
    <row r="42" spans="1:5" x14ac:dyDescent="0.35">
      <c r="A42" s="2">
        <v>41</v>
      </c>
      <c r="B42" t="s">
        <v>4</v>
      </c>
      <c r="C42" t="s">
        <v>7</v>
      </c>
      <c r="D42">
        <v>55</v>
      </c>
      <c r="E42" t="s">
        <v>14</v>
      </c>
    </row>
    <row r="43" spans="1:5" x14ac:dyDescent="0.35">
      <c r="A43" s="2">
        <v>42</v>
      </c>
      <c r="B43" t="s">
        <v>5</v>
      </c>
      <c r="C43" t="s">
        <v>8</v>
      </c>
      <c r="D43">
        <v>97</v>
      </c>
      <c r="E43" t="s">
        <v>14</v>
      </c>
    </row>
    <row r="44" spans="1:5" x14ac:dyDescent="0.35">
      <c r="A44" s="2">
        <v>43</v>
      </c>
      <c r="B44" t="s">
        <v>5</v>
      </c>
      <c r="C44" t="s">
        <v>8</v>
      </c>
      <c r="D44">
        <v>83</v>
      </c>
      <c r="E44" t="s">
        <v>10</v>
      </c>
    </row>
    <row r="45" spans="1:5" x14ac:dyDescent="0.35">
      <c r="A45" s="2">
        <v>44</v>
      </c>
      <c r="B45" t="s">
        <v>4</v>
      </c>
      <c r="C45" t="s">
        <v>7</v>
      </c>
      <c r="D45">
        <v>87</v>
      </c>
      <c r="E45" t="s">
        <v>11</v>
      </c>
    </row>
    <row r="46" spans="1:5" x14ac:dyDescent="0.35">
      <c r="A46" s="2">
        <v>45</v>
      </c>
      <c r="B46" t="s">
        <v>6</v>
      </c>
      <c r="C46" t="s">
        <v>7</v>
      </c>
      <c r="D46">
        <v>71</v>
      </c>
      <c r="E46" t="s">
        <v>12</v>
      </c>
    </row>
    <row r="47" spans="1:5" x14ac:dyDescent="0.35">
      <c r="A47" s="2">
        <v>46</v>
      </c>
      <c r="B47" t="s">
        <v>4</v>
      </c>
      <c r="C47" t="s">
        <v>9</v>
      </c>
      <c r="D47">
        <v>67</v>
      </c>
      <c r="E47" t="s">
        <v>14</v>
      </c>
    </row>
    <row r="48" spans="1:5" x14ac:dyDescent="0.35">
      <c r="A48" s="2">
        <v>47</v>
      </c>
      <c r="B48" t="s">
        <v>5</v>
      </c>
      <c r="C48" t="s">
        <v>8</v>
      </c>
      <c r="D48">
        <v>72</v>
      </c>
      <c r="E48" t="s">
        <v>13</v>
      </c>
    </row>
    <row r="49" spans="1:5" x14ac:dyDescent="0.35">
      <c r="A49" s="2">
        <v>48</v>
      </c>
      <c r="B49" t="s">
        <v>6</v>
      </c>
      <c r="C49" t="s">
        <v>7</v>
      </c>
      <c r="D49">
        <v>49</v>
      </c>
      <c r="E49" t="s">
        <v>13</v>
      </c>
    </row>
    <row r="50" spans="1:5" x14ac:dyDescent="0.35">
      <c r="A50" s="2">
        <v>49</v>
      </c>
      <c r="B50" t="s">
        <v>6</v>
      </c>
      <c r="C50" t="s">
        <v>9</v>
      </c>
      <c r="D50">
        <v>55</v>
      </c>
      <c r="E50" t="s">
        <v>12</v>
      </c>
    </row>
    <row r="51" spans="1:5" x14ac:dyDescent="0.35">
      <c r="A51" s="2">
        <v>50</v>
      </c>
      <c r="B51" t="s">
        <v>4</v>
      </c>
      <c r="C51" t="s">
        <v>9</v>
      </c>
      <c r="D51">
        <v>16</v>
      </c>
      <c r="E51" t="s">
        <v>11</v>
      </c>
    </row>
  </sheetData>
  <autoFilter ref="A1:E51" xr:uid="{00000000-0001-0000-01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89C7A-D353-499C-8A26-A992499E0C3D}">
  <dimension ref="A2:H48"/>
  <sheetViews>
    <sheetView tabSelected="1" showWhiteSpace="0" zoomScaleNormal="100" workbookViewId="0">
      <selection activeCell="F8" sqref="F8"/>
    </sheetView>
  </sheetViews>
  <sheetFormatPr defaultColWidth="10.90625" defaultRowHeight="14.5" x14ac:dyDescent="0.35"/>
  <cols>
    <col min="1" max="1" width="12.36328125" bestFit="1" customWidth="1"/>
    <col min="2" max="2" width="16.54296875" bestFit="1" customWidth="1"/>
    <col min="3" max="3" width="9.90625" bestFit="1" customWidth="1"/>
    <col min="11" max="11" width="15.1796875" bestFit="1" customWidth="1"/>
    <col min="12" max="12" width="15.26953125" bestFit="1" customWidth="1"/>
    <col min="13" max="13" width="7.08984375" bestFit="1" customWidth="1"/>
    <col min="14" max="14" width="7.36328125" bestFit="1" customWidth="1"/>
    <col min="15" max="15" width="10.7265625" bestFit="1" customWidth="1"/>
    <col min="16" max="49" width="2.81640625" bestFit="1" customWidth="1"/>
    <col min="50" max="50" width="10.7265625" bestFit="1" customWidth="1"/>
  </cols>
  <sheetData>
    <row r="2" spans="1:8" x14ac:dyDescent="0.35">
      <c r="A2" t="s">
        <v>32</v>
      </c>
      <c r="F2" s="13" t="s">
        <v>33</v>
      </c>
      <c r="G2" s="13"/>
      <c r="H2" s="13"/>
    </row>
    <row r="3" spans="1:8" x14ac:dyDescent="0.35">
      <c r="A3" s="3" t="s">
        <v>16</v>
      </c>
      <c r="B3" s="4" t="s">
        <v>18</v>
      </c>
      <c r="C3" s="5" t="s">
        <v>19</v>
      </c>
      <c r="F3" t="s">
        <v>34</v>
      </c>
    </row>
    <row r="4" spans="1:8" x14ac:dyDescent="0.35">
      <c r="A4" s="6" t="s">
        <v>4</v>
      </c>
      <c r="B4" s="4">
        <v>1157</v>
      </c>
      <c r="C4" s="7">
        <f>GETPIVOTDATA("Mentions",$A$3,"Platform","Facebook")/2758</f>
        <v>0.41950688905003625</v>
      </c>
      <c r="F4" t="s">
        <v>35</v>
      </c>
    </row>
    <row r="5" spans="1:8" x14ac:dyDescent="0.35">
      <c r="A5" s="6" t="s">
        <v>6</v>
      </c>
      <c r="B5" s="4">
        <v>607</v>
      </c>
      <c r="C5" s="7">
        <f>GETPIVOTDATA("Mentions",$A$3,"Platform","Instagram")/GETPIVOTDATA("Mentions",$A$3)</f>
        <v>0.22008701957940538</v>
      </c>
      <c r="F5" t="s">
        <v>36</v>
      </c>
    </row>
    <row r="6" spans="1:8" x14ac:dyDescent="0.35">
      <c r="A6" s="6" t="s">
        <v>5</v>
      </c>
      <c r="B6" s="4">
        <v>994</v>
      </c>
      <c r="C6" s="7">
        <f>GETPIVOTDATA("Mentions",$A$3,"Platform","Twitter")/GETPIVOTDATA("Mentions",$A$3)</f>
        <v>0.3604060913705584</v>
      </c>
      <c r="F6" t="s">
        <v>37</v>
      </c>
    </row>
    <row r="7" spans="1:8" x14ac:dyDescent="0.35">
      <c r="A7" s="6" t="s">
        <v>17</v>
      </c>
      <c r="B7" s="4">
        <v>2758</v>
      </c>
      <c r="C7" s="8">
        <f>SUM(C4:C6)</f>
        <v>1</v>
      </c>
      <c r="F7" t="s">
        <v>38</v>
      </c>
    </row>
    <row r="9" spans="1:8" x14ac:dyDescent="0.35">
      <c r="A9" s="9" t="s">
        <v>25</v>
      </c>
    </row>
    <row r="10" spans="1:8" x14ac:dyDescent="0.35">
      <c r="A10" s="3" t="s">
        <v>26</v>
      </c>
      <c r="B10" s="4" t="s">
        <v>29</v>
      </c>
      <c r="C10" s="4" t="s">
        <v>19</v>
      </c>
    </row>
    <row r="11" spans="1:8" x14ac:dyDescent="0.35">
      <c r="A11" s="6" t="s">
        <v>7</v>
      </c>
      <c r="B11" s="12">
        <v>1031</v>
      </c>
      <c r="C11" s="16">
        <v>0.37382160986221902</v>
      </c>
    </row>
    <row r="12" spans="1:8" x14ac:dyDescent="0.35">
      <c r="A12" s="6" t="s">
        <v>9</v>
      </c>
      <c r="B12" s="12">
        <v>785</v>
      </c>
      <c r="C12" s="16">
        <v>0.28462654097171863</v>
      </c>
    </row>
    <row r="13" spans="1:8" x14ac:dyDescent="0.35">
      <c r="A13" s="6" t="s">
        <v>8</v>
      </c>
      <c r="B13" s="12">
        <v>942</v>
      </c>
      <c r="C13" s="16">
        <v>0.34155184916606235</v>
      </c>
    </row>
    <row r="14" spans="1:8" x14ac:dyDescent="0.35">
      <c r="A14" s="6" t="s">
        <v>27</v>
      </c>
      <c r="B14" s="12">
        <v>2758</v>
      </c>
      <c r="C14" s="16">
        <v>1</v>
      </c>
    </row>
    <row r="16" spans="1:8" x14ac:dyDescent="0.35">
      <c r="A16" s="9" t="s">
        <v>31</v>
      </c>
    </row>
    <row r="17" spans="1:5" x14ac:dyDescent="0.35">
      <c r="A17" s="3" t="s">
        <v>26</v>
      </c>
      <c r="B17" s="4" t="s">
        <v>18</v>
      </c>
      <c r="C17" s="4" t="s">
        <v>19</v>
      </c>
    </row>
    <row r="18" spans="1:5" x14ac:dyDescent="0.35">
      <c r="A18" s="6" t="s">
        <v>14</v>
      </c>
      <c r="B18" s="12">
        <v>327</v>
      </c>
      <c r="C18" s="16">
        <v>0.11856417693981146</v>
      </c>
    </row>
    <row r="19" spans="1:5" x14ac:dyDescent="0.35">
      <c r="A19" s="6" t="s">
        <v>12</v>
      </c>
      <c r="B19" s="12">
        <v>673</v>
      </c>
      <c r="C19" s="16">
        <v>0.24401740391588109</v>
      </c>
    </row>
    <row r="20" spans="1:5" x14ac:dyDescent="0.35">
      <c r="A20" s="6" t="s">
        <v>11</v>
      </c>
      <c r="B20" s="12">
        <v>622</v>
      </c>
      <c r="C20" s="16">
        <v>0.22552574329224076</v>
      </c>
    </row>
    <row r="21" spans="1:5" x14ac:dyDescent="0.35">
      <c r="A21" s="6" t="s">
        <v>13</v>
      </c>
      <c r="B21" s="12">
        <v>543</v>
      </c>
      <c r="C21" s="16">
        <v>0.19688179840464104</v>
      </c>
    </row>
    <row r="22" spans="1:5" x14ac:dyDescent="0.35">
      <c r="A22" s="6" t="s">
        <v>10</v>
      </c>
      <c r="B22" s="12">
        <v>593</v>
      </c>
      <c r="C22" s="16">
        <v>0.21501087744742567</v>
      </c>
    </row>
    <row r="23" spans="1:5" x14ac:dyDescent="0.35">
      <c r="A23" s="6" t="s">
        <v>27</v>
      </c>
      <c r="B23" s="12">
        <v>2758</v>
      </c>
      <c r="C23" s="16">
        <v>1</v>
      </c>
    </row>
    <row r="25" spans="1:5" x14ac:dyDescent="0.35">
      <c r="A25" s="10" t="s">
        <v>29</v>
      </c>
      <c r="B25" s="10" t="s">
        <v>30</v>
      </c>
    </row>
    <row r="26" spans="1:5" x14ac:dyDescent="0.35">
      <c r="A26" s="10" t="s">
        <v>26</v>
      </c>
      <c r="B26" t="s">
        <v>7</v>
      </c>
      <c r="C26" t="s">
        <v>9</v>
      </c>
      <c r="D26" t="s">
        <v>8</v>
      </c>
      <c r="E26" t="s">
        <v>27</v>
      </c>
    </row>
    <row r="27" spans="1:5" x14ac:dyDescent="0.35">
      <c r="A27" s="11" t="s">
        <v>4</v>
      </c>
      <c r="B27" s="15">
        <v>0.38720829732065687</v>
      </c>
      <c r="C27" s="15">
        <v>0.29559204840103714</v>
      </c>
      <c r="D27" s="15">
        <v>0.31719965427830599</v>
      </c>
      <c r="E27" s="15">
        <v>1</v>
      </c>
    </row>
    <row r="28" spans="1:5" x14ac:dyDescent="0.35">
      <c r="A28" s="11" t="s">
        <v>6</v>
      </c>
      <c r="B28" s="15">
        <v>0.39373970345963755</v>
      </c>
      <c r="C28" s="15">
        <v>0.52553542009884679</v>
      </c>
      <c r="D28" s="15">
        <v>8.0724876441515644E-2</v>
      </c>
      <c r="E28" s="15">
        <v>1</v>
      </c>
    </row>
    <row r="29" spans="1:5" x14ac:dyDescent="0.35">
      <c r="A29" s="11" t="s">
        <v>5</v>
      </c>
      <c r="B29" s="15">
        <v>0.34607645875251508</v>
      </c>
      <c r="C29" s="15">
        <v>0.12474849094567404</v>
      </c>
      <c r="D29" s="15">
        <v>0.52917505030181089</v>
      </c>
      <c r="E29" s="15">
        <v>1</v>
      </c>
    </row>
    <row r="30" spans="1:5" x14ac:dyDescent="0.35">
      <c r="A30" s="11" t="s">
        <v>27</v>
      </c>
      <c r="B30" s="15">
        <v>0.37382160986221902</v>
      </c>
      <c r="C30" s="15">
        <v>0.28462654097171863</v>
      </c>
      <c r="D30" s="15">
        <v>0.34155184916606235</v>
      </c>
      <c r="E30" s="15">
        <v>1</v>
      </c>
    </row>
    <row r="32" spans="1:5" x14ac:dyDescent="0.35">
      <c r="A32" s="10" t="s">
        <v>29</v>
      </c>
      <c r="B32" s="10" t="s">
        <v>30</v>
      </c>
    </row>
    <row r="33" spans="1:5" x14ac:dyDescent="0.35">
      <c r="A33" s="10" t="s">
        <v>26</v>
      </c>
      <c r="B33" t="s">
        <v>7</v>
      </c>
      <c r="C33" t="s">
        <v>9</v>
      </c>
      <c r="D33" t="s">
        <v>8</v>
      </c>
      <c r="E33" t="s">
        <v>27</v>
      </c>
    </row>
    <row r="34" spans="1:5" x14ac:dyDescent="0.35">
      <c r="A34" s="11" t="s">
        <v>14</v>
      </c>
      <c r="B34" s="15">
        <v>0.30886850152905199</v>
      </c>
      <c r="C34" s="15">
        <v>0.36085626911314983</v>
      </c>
      <c r="D34" s="15">
        <v>0.33027522935779818</v>
      </c>
      <c r="E34" s="15">
        <v>1</v>
      </c>
    </row>
    <row r="35" spans="1:5" x14ac:dyDescent="0.35">
      <c r="A35" s="11" t="s">
        <v>12</v>
      </c>
      <c r="B35" s="15">
        <v>0.2288261515601783</v>
      </c>
      <c r="C35" s="15">
        <v>0.34323922734026746</v>
      </c>
      <c r="D35" s="15">
        <v>0.42793462109955421</v>
      </c>
      <c r="E35" s="15">
        <v>1</v>
      </c>
    </row>
    <row r="36" spans="1:5" x14ac:dyDescent="0.35">
      <c r="A36" s="11" t="s">
        <v>11</v>
      </c>
      <c r="B36" s="15">
        <v>0.567524115755627</v>
      </c>
      <c r="C36" s="15">
        <v>0.18327974276527331</v>
      </c>
      <c r="D36" s="15">
        <v>0.24919614147909969</v>
      </c>
      <c r="E36" s="15">
        <v>1</v>
      </c>
    </row>
    <row r="37" spans="1:5" x14ac:dyDescent="0.35">
      <c r="A37" s="11" t="s">
        <v>13</v>
      </c>
      <c r="B37" s="15">
        <v>0.40147329650092078</v>
      </c>
      <c r="C37" s="15">
        <v>4.6040515653775323E-2</v>
      </c>
      <c r="D37" s="15">
        <v>0.5524861878453039</v>
      </c>
      <c r="E37" s="15">
        <v>1</v>
      </c>
    </row>
    <row r="38" spans="1:5" x14ac:dyDescent="0.35">
      <c r="A38" s="11" t="s">
        <v>10</v>
      </c>
      <c r="B38" s="15">
        <v>0.34569983136593591</v>
      </c>
      <c r="C38" s="15">
        <v>0.50084317032040471</v>
      </c>
      <c r="D38" s="15">
        <v>0.15345699831365936</v>
      </c>
      <c r="E38" s="15">
        <v>1</v>
      </c>
    </row>
    <row r="39" spans="1:5" x14ac:dyDescent="0.35">
      <c r="A39" s="11" t="s">
        <v>27</v>
      </c>
      <c r="B39" s="15">
        <v>0.37382160986221902</v>
      </c>
      <c r="C39" s="15">
        <v>0.28462654097171863</v>
      </c>
      <c r="D39" s="15">
        <v>0.34155184916606235</v>
      </c>
      <c r="E39" s="15">
        <v>1</v>
      </c>
    </row>
    <row r="48" spans="1:5" x14ac:dyDescent="0.35">
      <c r="A48" s="17"/>
      <c r="B48" s="17"/>
      <c r="C48" s="17"/>
    </row>
  </sheetData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D147-31CA-4E57-9705-61F8D8017F0E}">
  <dimension ref="A1:A3"/>
  <sheetViews>
    <sheetView workbookViewId="0">
      <selection activeCell="A2" sqref="A2"/>
    </sheetView>
  </sheetViews>
  <sheetFormatPr defaultRowHeight="14.5" x14ac:dyDescent="0.35"/>
  <cols>
    <col min="1" max="1" width="14.6328125" bestFit="1" customWidth="1"/>
  </cols>
  <sheetData>
    <row r="1" spans="1:1" x14ac:dyDescent="0.35">
      <c r="A1" s="14" t="s">
        <v>26</v>
      </c>
    </row>
    <row r="2" spans="1:1" x14ac:dyDescent="0.35">
      <c r="A2" s="11" t="s">
        <v>28</v>
      </c>
    </row>
    <row r="3" spans="1:1" x14ac:dyDescent="0.35">
      <c r="A3" s="11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4AE0-EABE-46E1-9D06-A5F0B02A521E}">
  <dimension ref="A1"/>
  <sheetViews>
    <sheetView workbookViewId="0">
      <selection sqref="A1:XFD1"/>
    </sheetView>
  </sheetViews>
  <sheetFormatPr defaultRowHeight="14.5" x14ac:dyDescent="0.35"/>
  <sheetData>
    <row r="1" customForma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FBA76AB5436B47BD855C2A6388361C" ma:contentTypeVersion="12" ma:contentTypeDescription="Crear nuevo documento." ma:contentTypeScope="" ma:versionID="4e10d3058241c343d0348521a99d6ecc">
  <xsd:schema xmlns:xsd="http://www.w3.org/2001/XMLSchema" xmlns:xs="http://www.w3.org/2001/XMLSchema" xmlns:p="http://schemas.microsoft.com/office/2006/metadata/properties" xmlns:ns3="e805bdbb-9cbc-486c-8b81-c637c2257a9b" targetNamespace="http://schemas.microsoft.com/office/2006/metadata/properties" ma:root="true" ma:fieldsID="f24389591f3a18feff28fdb71ad4ca4b" ns3:_="">
    <xsd:import namespace="e805bdbb-9cbc-486c-8b81-c637c2257a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5bdbb-9cbc-486c-8b81-c637c2257a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805bdbb-9cbc-486c-8b81-c637c2257a9b" xsi:nil="true"/>
  </documentManagement>
</p:properties>
</file>

<file path=customXml/itemProps1.xml><?xml version="1.0" encoding="utf-8"?>
<ds:datastoreItem xmlns:ds="http://schemas.openxmlformats.org/officeDocument/2006/customXml" ds:itemID="{B6E0453C-757C-4E59-BC64-F844A9D21F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C02610-9128-43E0-8248-47532AF1EA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5bdbb-9cbc-486c-8b81-c637c2257a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A65384-8603-4C91-BA0B-F3A758312D0C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purl.org/dc/terms/"/>
    <ds:schemaRef ds:uri="e805bdbb-9cbc-486c-8b81-c637c2257a9b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Social_Media_Data</vt:lpstr>
      <vt:lpstr>Ejemplo_tabladinamica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Muñoz Bahamonde</dc:creator>
  <cp:lastModifiedBy>Nikhil harins</cp:lastModifiedBy>
  <dcterms:created xsi:type="dcterms:W3CDTF">2024-11-03T20:56:13Z</dcterms:created>
  <dcterms:modified xsi:type="dcterms:W3CDTF">2026-05-05T18:02:48Z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0x0101002CFBA76AB5436B47BD855C2A6388361C</vt:lpwstr>
  </property>
</Properties>
</file>